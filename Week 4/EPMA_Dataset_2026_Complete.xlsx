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Backup Romain\Work\Teaching\Analytical Techniques 2025\Week 4 - SEM &amp; EPMA\Practical\"/>
    </mc:Choice>
  </mc:AlternateContent>
  <xr:revisionPtr revIDLastSave="0" documentId="8_{BE04DFE0-2570-49C7-B6F7-773309393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3" i="1" l="1"/>
  <c r="CO3" i="1"/>
  <c r="CO12" i="1"/>
  <c r="CP12" i="1"/>
  <c r="CS4" i="1"/>
  <c r="CS5" i="1"/>
  <c r="CS6" i="1"/>
  <c r="CS7" i="1"/>
  <c r="CS8" i="1"/>
  <c r="CS9" i="1"/>
  <c r="CS10" i="1"/>
  <c r="CS11" i="1"/>
  <c r="CS12" i="1"/>
  <c r="CS3" i="1"/>
  <c r="CR3" i="1"/>
  <c r="BZ20" i="1" l="1"/>
  <c r="BY20" i="1"/>
  <c r="BX20" i="1"/>
  <c r="BW20" i="1"/>
  <c r="BV20" i="1"/>
  <c r="BU20" i="1"/>
  <c r="BT20" i="1"/>
  <c r="BS20" i="1"/>
  <c r="BR20" i="1"/>
  <c r="BQ20" i="1"/>
  <c r="BP20" i="1"/>
  <c r="BZ19" i="1"/>
  <c r="BY19" i="1"/>
  <c r="BX19" i="1"/>
  <c r="BW19" i="1"/>
  <c r="BV19" i="1"/>
  <c r="BU19" i="1"/>
  <c r="BT19" i="1"/>
  <c r="BS19" i="1"/>
  <c r="BR19" i="1"/>
  <c r="BQ19" i="1"/>
  <c r="BP19" i="1"/>
  <c r="BZ18" i="1"/>
  <c r="BY18" i="1"/>
  <c r="BX18" i="1"/>
  <c r="BW18" i="1"/>
  <c r="BV18" i="1"/>
  <c r="BU18" i="1"/>
  <c r="BT18" i="1"/>
  <c r="BS18" i="1"/>
  <c r="BR18" i="1"/>
  <c r="BQ18" i="1"/>
  <c r="BP18" i="1"/>
  <c r="BZ17" i="1"/>
  <c r="BY17" i="1"/>
  <c r="BX17" i="1"/>
  <c r="BW17" i="1"/>
  <c r="BV17" i="1"/>
  <c r="BU17" i="1"/>
  <c r="BT17" i="1"/>
  <c r="BS17" i="1"/>
  <c r="BR17" i="1"/>
  <c r="BQ17" i="1"/>
  <c r="BP17" i="1"/>
  <c r="BZ16" i="1"/>
  <c r="BY16" i="1"/>
  <c r="BX16" i="1"/>
  <c r="BW16" i="1"/>
  <c r="BV16" i="1"/>
  <c r="BU16" i="1"/>
  <c r="BT16" i="1"/>
  <c r="BS16" i="1"/>
  <c r="BR16" i="1"/>
  <c r="BQ16" i="1"/>
  <c r="BP16" i="1"/>
  <c r="BZ15" i="1"/>
  <c r="BY15" i="1"/>
  <c r="BX15" i="1"/>
  <c r="BW15" i="1"/>
  <c r="BV15" i="1"/>
  <c r="BU15" i="1"/>
  <c r="BT15" i="1"/>
  <c r="BS15" i="1"/>
  <c r="BR15" i="1"/>
  <c r="BQ15" i="1"/>
  <c r="BP15" i="1"/>
  <c r="AR20" i="1"/>
  <c r="AO18" i="1"/>
  <c r="AQ15" i="1"/>
  <c r="Y20" i="1"/>
  <c r="AW20" i="1" s="1"/>
  <c r="X20" i="1"/>
  <c r="AV20" i="1" s="1"/>
  <c r="W20" i="1"/>
  <c r="AU20" i="1" s="1"/>
  <c r="V20" i="1"/>
  <c r="AT20" i="1" s="1"/>
  <c r="U20" i="1"/>
  <c r="AS20" i="1" s="1"/>
  <c r="T20" i="1"/>
  <c r="S20" i="1"/>
  <c r="AQ20" i="1" s="1"/>
  <c r="R20" i="1"/>
  <c r="AP20" i="1" s="1"/>
  <c r="Q20" i="1"/>
  <c r="AO20" i="1" s="1"/>
  <c r="P20" i="1"/>
  <c r="AN20" i="1" s="1"/>
  <c r="Y19" i="1"/>
  <c r="AW19" i="1" s="1"/>
  <c r="X19" i="1"/>
  <c r="AV19" i="1" s="1"/>
  <c r="W19" i="1"/>
  <c r="AU19" i="1" s="1"/>
  <c r="V19" i="1"/>
  <c r="AT19" i="1" s="1"/>
  <c r="U19" i="1"/>
  <c r="AS19" i="1" s="1"/>
  <c r="T19" i="1"/>
  <c r="AR19" i="1" s="1"/>
  <c r="S19" i="1"/>
  <c r="AQ19" i="1" s="1"/>
  <c r="R19" i="1"/>
  <c r="AP19" i="1" s="1"/>
  <c r="Q19" i="1"/>
  <c r="AO19" i="1" s="1"/>
  <c r="P19" i="1"/>
  <c r="AN19" i="1" s="1"/>
  <c r="Y18" i="1"/>
  <c r="AW18" i="1" s="1"/>
  <c r="X18" i="1"/>
  <c r="AV18" i="1" s="1"/>
  <c r="W18" i="1"/>
  <c r="AU18" i="1" s="1"/>
  <c r="V18" i="1"/>
  <c r="AT18" i="1" s="1"/>
  <c r="U18" i="1"/>
  <c r="AS18" i="1" s="1"/>
  <c r="T18" i="1"/>
  <c r="AR18" i="1" s="1"/>
  <c r="S18" i="1"/>
  <c r="AQ18" i="1" s="1"/>
  <c r="R18" i="1"/>
  <c r="AP18" i="1" s="1"/>
  <c r="Q18" i="1"/>
  <c r="P18" i="1"/>
  <c r="AN18" i="1" s="1"/>
  <c r="Y17" i="1"/>
  <c r="AW17" i="1" s="1"/>
  <c r="X17" i="1"/>
  <c r="AV17" i="1" s="1"/>
  <c r="W17" i="1"/>
  <c r="AU17" i="1" s="1"/>
  <c r="V17" i="1"/>
  <c r="AT17" i="1" s="1"/>
  <c r="U17" i="1"/>
  <c r="AS17" i="1" s="1"/>
  <c r="T17" i="1"/>
  <c r="AR17" i="1" s="1"/>
  <c r="S17" i="1"/>
  <c r="AQ17" i="1" s="1"/>
  <c r="R17" i="1"/>
  <c r="AP17" i="1" s="1"/>
  <c r="Q17" i="1"/>
  <c r="AO17" i="1" s="1"/>
  <c r="P17" i="1"/>
  <c r="AN17" i="1" s="1"/>
  <c r="Y16" i="1"/>
  <c r="AW16" i="1" s="1"/>
  <c r="X16" i="1"/>
  <c r="AV16" i="1" s="1"/>
  <c r="W16" i="1"/>
  <c r="AU16" i="1" s="1"/>
  <c r="V16" i="1"/>
  <c r="AT16" i="1" s="1"/>
  <c r="U16" i="1"/>
  <c r="AS16" i="1" s="1"/>
  <c r="T16" i="1"/>
  <c r="AR16" i="1" s="1"/>
  <c r="S16" i="1"/>
  <c r="AQ16" i="1" s="1"/>
  <c r="R16" i="1"/>
  <c r="AP16" i="1" s="1"/>
  <c r="Q16" i="1"/>
  <c r="AO16" i="1" s="1"/>
  <c r="P16" i="1"/>
  <c r="AN16" i="1" s="1"/>
  <c r="Y15" i="1"/>
  <c r="AW15" i="1" s="1"/>
  <c r="X15" i="1"/>
  <c r="AV15" i="1" s="1"/>
  <c r="W15" i="1"/>
  <c r="AU15" i="1" s="1"/>
  <c r="V15" i="1"/>
  <c r="AT15" i="1" s="1"/>
  <c r="U15" i="1"/>
  <c r="AS15" i="1" s="1"/>
  <c r="T15" i="1"/>
  <c r="AR15" i="1" s="1"/>
  <c r="S15" i="1"/>
  <c r="R15" i="1"/>
  <c r="AP15" i="1" s="1"/>
  <c r="Q15" i="1"/>
  <c r="AO15" i="1" s="1"/>
  <c r="P15" i="1"/>
  <c r="AN15" i="1" s="1"/>
  <c r="N20" i="1"/>
  <c r="N19" i="1"/>
  <c r="N18" i="1"/>
  <c r="N17" i="1"/>
  <c r="N16" i="1"/>
  <c r="N15" i="1"/>
  <c r="BZ12" i="1" l="1"/>
  <c r="BZ11" i="1"/>
  <c r="BZ10" i="1"/>
  <c r="BZ9" i="1"/>
  <c r="BZ8" i="1"/>
  <c r="BZ7" i="1"/>
  <c r="BZ6" i="1"/>
  <c r="BZ5" i="1"/>
  <c r="BZ4" i="1"/>
  <c r="BZ3" i="1"/>
  <c r="P3" i="1"/>
  <c r="AN3" i="1" s="1"/>
  <c r="P4" i="1" l="1"/>
  <c r="AN4" i="1" s="1"/>
  <c r="Q4" i="1"/>
  <c r="AO4" i="1" s="1"/>
  <c r="R4" i="1"/>
  <c r="AP4" i="1" s="1"/>
  <c r="S4" i="1"/>
  <c r="AQ4" i="1" s="1"/>
  <c r="T4" i="1"/>
  <c r="AR4" i="1" s="1"/>
  <c r="U4" i="1"/>
  <c r="AS4" i="1" s="1"/>
  <c r="V4" i="1"/>
  <c r="AT4" i="1" s="1"/>
  <c r="W4" i="1"/>
  <c r="AU4" i="1" s="1"/>
  <c r="X4" i="1"/>
  <c r="AV4" i="1" s="1"/>
  <c r="Y4" i="1"/>
  <c r="AW4" i="1" s="1"/>
  <c r="BP4" i="1"/>
  <c r="BQ4" i="1"/>
  <c r="BR4" i="1"/>
  <c r="BS4" i="1"/>
  <c r="BT4" i="1"/>
  <c r="BU4" i="1"/>
  <c r="BV4" i="1"/>
  <c r="BW4" i="1"/>
  <c r="BX4" i="1"/>
  <c r="BY4" i="1"/>
  <c r="P5" i="1"/>
  <c r="AN5" i="1" s="1"/>
  <c r="Q5" i="1"/>
  <c r="AO5" i="1" s="1"/>
  <c r="R5" i="1"/>
  <c r="AP5" i="1" s="1"/>
  <c r="S5" i="1"/>
  <c r="AQ5" i="1" s="1"/>
  <c r="T5" i="1"/>
  <c r="AR5" i="1" s="1"/>
  <c r="U5" i="1"/>
  <c r="AS5" i="1" s="1"/>
  <c r="V5" i="1"/>
  <c r="AT5" i="1" s="1"/>
  <c r="W5" i="1"/>
  <c r="AU5" i="1" s="1"/>
  <c r="X5" i="1"/>
  <c r="AV5" i="1" s="1"/>
  <c r="Y5" i="1"/>
  <c r="AW5" i="1" s="1"/>
  <c r="BP5" i="1"/>
  <c r="BQ5" i="1"/>
  <c r="BR5" i="1"/>
  <c r="BS5" i="1"/>
  <c r="BT5" i="1"/>
  <c r="BU5" i="1"/>
  <c r="BV5" i="1"/>
  <c r="BW5" i="1"/>
  <c r="BX5" i="1"/>
  <c r="BY5" i="1"/>
  <c r="P6" i="1"/>
  <c r="AN6" i="1" s="1"/>
  <c r="Q6" i="1"/>
  <c r="AO6" i="1" s="1"/>
  <c r="R6" i="1"/>
  <c r="AP6" i="1" s="1"/>
  <c r="S6" i="1"/>
  <c r="AQ6" i="1" s="1"/>
  <c r="T6" i="1"/>
  <c r="AR6" i="1" s="1"/>
  <c r="U6" i="1"/>
  <c r="AS6" i="1" s="1"/>
  <c r="V6" i="1"/>
  <c r="AT6" i="1" s="1"/>
  <c r="W6" i="1"/>
  <c r="AU6" i="1" s="1"/>
  <c r="X6" i="1"/>
  <c r="AV6" i="1" s="1"/>
  <c r="Y6" i="1"/>
  <c r="AW6" i="1" s="1"/>
  <c r="BP6" i="1"/>
  <c r="BQ6" i="1"/>
  <c r="BR6" i="1"/>
  <c r="BS6" i="1"/>
  <c r="BT6" i="1"/>
  <c r="BU6" i="1"/>
  <c r="BV6" i="1"/>
  <c r="BW6" i="1"/>
  <c r="BX6" i="1"/>
  <c r="BY6" i="1"/>
  <c r="P7" i="1"/>
  <c r="AN7" i="1" s="1"/>
  <c r="Q7" i="1"/>
  <c r="AO7" i="1" s="1"/>
  <c r="R7" i="1"/>
  <c r="AP7" i="1" s="1"/>
  <c r="S7" i="1"/>
  <c r="AQ7" i="1" s="1"/>
  <c r="T7" i="1"/>
  <c r="AR7" i="1" s="1"/>
  <c r="U7" i="1"/>
  <c r="AS7" i="1" s="1"/>
  <c r="V7" i="1"/>
  <c r="AT7" i="1" s="1"/>
  <c r="W7" i="1"/>
  <c r="AU7" i="1" s="1"/>
  <c r="X7" i="1"/>
  <c r="AV7" i="1" s="1"/>
  <c r="Y7" i="1"/>
  <c r="AW7" i="1" s="1"/>
  <c r="BP7" i="1"/>
  <c r="BQ7" i="1"/>
  <c r="BR7" i="1"/>
  <c r="BS7" i="1"/>
  <c r="BT7" i="1"/>
  <c r="BU7" i="1"/>
  <c r="BV7" i="1"/>
  <c r="BW7" i="1"/>
  <c r="BX7" i="1"/>
  <c r="BY7" i="1"/>
  <c r="P8" i="1"/>
  <c r="AN8" i="1" s="1"/>
  <c r="Q8" i="1"/>
  <c r="AO8" i="1" s="1"/>
  <c r="R8" i="1"/>
  <c r="AP8" i="1" s="1"/>
  <c r="S8" i="1"/>
  <c r="AQ8" i="1" s="1"/>
  <c r="T8" i="1"/>
  <c r="AR8" i="1" s="1"/>
  <c r="U8" i="1"/>
  <c r="AS8" i="1" s="1"/>
  <c r="V8" i="1"/>
  <c r="AT8" i="1" s="1"/>
  <c r="W8" i="1"/>
  <c r="AU8" i="1" s="1"/>
  <c r="X8" i="1"/>
  <c r="AV8" i="1" s="1"/>
  <c r="Y8" i="1"/>
  <c r="AW8" i="1" s="1"/>
  <c r="BP8" i="1"/>
  <c r="BQ8" i="1"/>
  <c r="BR8" i="1"/>
  <c r="BS8" i="1"/>
  <c r="BT8" i="1"/>
  <c r="BU8" i="1"/>
  <c r="BV8" i="1"/>
  <c r="BW8" i="1"/>
  <c r="BX8" i="1"/>
  <c r="BY8" i="1"/>
  <c r="P9" i="1"/>
  <c r="AN9" i="1" s="1"/>
  <c r="Q9" i="1"/>
  <c r="AO9" i="1" s="1"/>
  <c r="R9" i="1"/>
  <c r="AP9" i="1" s="1"/>
  <c r="S9" i="1"/>
  <c r="AQ9" i="1" s="1"/>
  <c r="T9" i="1"/>
  <c r="AR9" i="1" s="1"/>
  <c r="U9" i="1"/>
  <c r="AS9" i="1" s="1"/>
  <c r="V9" i="1"/>
  <c r="AT9" i="1" s="1"/>
  <c r="W9" i="1"/>
  <c r="AU9" i="1" s="1"/>
  <c r="X9" i="1"/>
  <c r="AV9" i="1" s="1"/>
  <c r="Y9" i="1"/>
  <c r="AW9" i="1" s="1"/>
  <c r="BP9" i="1"/>
  <c r="BQ9" i="1"/>
  <c r="BR9" i="1"/>
  <c r="BS9" i="1"/>
  <c r="BT9" i="1"/>
  <c r="BU9" i="1"/>
  <c r="BV9" i="1"/>
  <c r="BW9" i="1"/>
  <c r="BX9" i="1"/>
  <c r="BY9" i="1"/>
  <c r="P10" i="1"/>
  <c r="AN10" i="1" s="1"/>
  <c r="Q10" i="1"/>
  <c r="AO10" i="1" s="1"/>
  <c r="R10" i="1"/>
  <c r="AP10" i="1" s="1"/>
  <c r="S10" i="1"/>
  <c r="AQ10" i="1" s="1"/>
  <c r="T10" i="1"/>
  <c r="AR10" i="1" s="1"/>
  <c r="U10" i="1"/>
  <c r="AS10" i="1" s="1"/>
  <c r="V10" i="1"/>
  <c r="AT10" i="1" s="1"/>
  <c r="W10" i="1"/>
  <c r="AU10" i="1" s="1"/>
  <c r="X10" i="1"/>
  <c r="AV10" i="1" s="1"/>
  <c r="Y10" i="1"/>
  <c r="AW10" i="1" s="1"/>
  <c r="BP10" i="1"/>
  <c r="BQ10" i="1"/>
  <c r="BR10" i="1"/>
  <c r="BS10" i="1"/>
  <c r="BT10" i="1"/>
  <c r="BU10" i="1"/>
  <c r="BV10" i="1"/>
  <c r="BW10" i="1"/>
  <c r="BX10" i="1"/>
  <c r="BY10" i="1"/>
  <c r="P11" i="1"/>
  <c r="AN11" i="1" s="1"/>
  <c r="Q11" i="1"/>
  <c r="AO11" i="1" s="1"/>
  <c r="R11" i="1"/>
  <c r="AP11" i="1" s="1"/>
  <c r="S11" i="1"/>
  <c r="AQ11" i="1" s="1"/>
  <c r="T11" i="1"/>
  <c r="AR11" i="1" s="1"/>
  <c r="U11" i="1"/>
  <c r="AS11" i="1" s="1"/>
  <c r="V11" i="1"/>
  <c r="W11" i="1"/>
  <c r="AU11" i="1" s="1"/>
  <c r="X11" i="1"/>
  <c r="AV11" i="1" s="1"/>
  <c r="Y11" i="1"/>
  <c r="AW11" i="1" s="1"/>
  <c r="AT11" i="1"/>
  <c r="BP11" i="1"/>
  <c r="BQ11" i="1"/>
  <c r="BR11" i="1"/>
  <c r="BS11" i="1"/>
  <c r="BT11" i="1"/>
  <c r="BU11" i="1"/>
  <c r="BV11" i="1"/>
  <c r="BW11" i="1"/>
  <c r="BX11" i="1"/>
  <c r="BY11" i="1"/>
  <c r="P12" i="1"/>
  <c r="AN12" i="1" s="1"/>
  <c r="Q12" i="1"/>
  <c r="AO12" i="1" s="1"/>
  <c r="R12" i="1"/>
  <c r="AP12" i="1" s="1"/>
  <c r="S12" i="1"/>
  <c r="AQ12" i="1" s="1"/>
  <c r="T12" i="1"/>
  <c r="AR12" i="1" s="1"/>
  <c r="U12" i="1"/>
  <c r="AS12" i="1" s="1"/>
  <c r="V12" i="1"/>
  <c r="AT12" i="1" s="1"/>
  <c r="W12" i="1"/>
  <c r="AU12" i="1" s="1"/>
  <c r="X12" i="1"/>
  <c r="AV12" i="1" s="1"/>
  <c r="Y12" i="1"/>
  <c r="AW12" i="1" s="1"/>
  <c r="BP12" i="1"/>
  <c r="BQ12" i="1"/>
  <c r="BR12" i="1"/>
  <c r="BS12" i="1"/>
  <c r="BT12" i="1"/>
  <c r="BU12" i="1"/>
  <c r="BV12" i="1"/>
  <c r="BW12" i="1"/>
  <c r="BX12" i="1"/>
  <c r="BY12" i="1"/>
  <c r="BY3" i="1"/>
  <c r="BX3" i="1"/>
  <c r="BW3" i="1"/>
  <c r="BV3" i="1"/>
  <c r="BU3" i="1"/>
  <c r="BT3" i="1"/>
  <c r="BS3" i="1"/>
  <c r="BR3" i="1"/>
  <c r="BQ3" i="1"/>
  <c r="BP3" i="1"/>
  <c r="Q3" i="1"/>
  <c r="AO3" i="1" s="1"/>
  <c r="R3" i="1"/>
  <c r="AP3" i="1" s="1"/>
  <c r="S3" i="1"/>
  <c r="AQ3" i="1" s="1"/>
  <c r="T3" i="1"/>
  <c r="AR3" i="1" s="1"/>
  <c r="U3" i="1"/>
  <c r="AS3" i="1" s="1"/>
  <c r="V3" i="1"/>
  <c r="AT3" i="1" s="1"/>
  <c r="W3" i="1"/>
  <c r="AU3" i="1" s="1"/>
  <c r="X3" i="1"/>
  <c r="AV3" i="1" s="1"/>
  <c r="Y3" i="1"/>
  <c r="AW3" i="1" s="1"/>
  <c r="M23" i="1"/>
  <c r="N4" i="1"/>
  <c r="N5" i="1"/>
  <c r="N6" i="1"/>
  <c r="N7" i="1"/>
  <c r="N8" i="1"/>
  <c r="N9" i="1"/>
  <c r="N10" i="1"/>
  <c r="N11" i="1"/>
  <c r="N12" i="1"/>
  <c r="N3" i="1"/>
  <c r="Z4" i="1" l="1"/>
  <c r="AX4" i="1" s="1"/>
  <c r="AY4" i="1" s="1"/>
  <c r="BB4" i="1" s="1"/>
  <c r="Z20" i="1"/>
  <c r="AX20" i="1" s="1"/>
  <c r="AY20" i="1" s="1"/>
  <c r="BB20" i="1" s="1"/>
  <c r="Z17" i="1"/>
  <c r="AX17" i="1" s="1"/>
  <c r="AY17" i="1" s="1"/>
  <c r="BB17" i="1" s="1"/>
  <c r="Z19" i="1"/>
  <c r="AX19" i="1" s="1"/>
  <c r="AY19" i="1" s="1"/>
  <c r="BB19" i="1" s="1"/>
  <c r="Z18" i="1"/>
  <c r="AX18" i="1" s="1"/>
  <c r="AY18" i="1" s="1"/>
  <c r="BB18" i="1" s="1"/>
  <c r="Z15" i="1"/>
  <c r="AX15" i="1" s="1"/>
  <c r="AY15" i="1" s="1"/>
  <c r="BB15" i="1" s="1"/>
  <c r="Z16" i="1"/>
  <c r="AX16" i="1" s="1"/>
  <c r="AY16" i="1" s="1"/>
  <c r="BB16" i="1" s="1"/>
  <c r="Z11" i="1"/>
  <c r="AX11" i="1" s="1"/>
  <c r="AY11" i="1" s="1"/>
  <c r="BB11" i="1" s="1"/>
  <c r="Z6" i="1"/>
  <c r="AX6" i="1" s="1"/>
  <c r="AY6" i="1" s="1"/>
  <c r="BB6" i="1" s="1"/>
  <c r="BG6" i="1" s="1"/>
  <c r="CE6" i="1" s="1"/>
  <c r="Z7" i="1"/>
  <c r="AX7" i="1" s="1"/>
  <c r="AY7" i="1" s="1"/>
  <c r="BB7" i="1" s="1"/>
  <c r="BF7" i="1" s="1"/>
  <c r="CD7" i="1" s="1"/>
  <c r="Z12" i="1"/>
  <c r="AX12" i="1" s="1"/>
  <c r="AY12" i="1" s="1"/>
  <c r="BB12" i="1" s="1"/>
  <c r="BM12" i="1" s="1"/>
  <c r="CK12" i="1" s="1"/>
  <c r="Z10" i="1"/>
  <c r="AX10" i="1" s="1"/>
  <c r="AY10" i="1" s="1"/>
  <c r="BB10" i="1" s="1"/>
  <c r="BM10" i="1" s="1"/>
  <c r="CK10" i="1" s="1"/>
  <c r="Z9" i="1"/>
  <c r="AX9" i="1" s="1"/>
  <c r="AY9" i="1" s="1"/>
  <c r="BB9" i="1" s="1"/>
  <c r="Z3" i="1"/>
  <c r="AX3" i="1" s="1"/>
  <c r="AY3" i="1" s="1"/>
  <c r="BB3" i="1" s="1"/>
  <c r="BD3" i="1" s="1"/>
  <c r="Z8" i="1"/>
  <c r="AX8" i="1" s="1"/>
  <c r="AY8" i="1" s="1"/>
  <c r="BB8" i="1" s="1"/>
  <c r="BE8" i="1" s="1"/>
  <c r="CC8" i="1" s="1"/>
  <c r="Z5" i="1"/>
  <c r="AX5" i="1" s="1"/>
  <c r="AY5" i="1" s="1"/>
  <c r="BB5" i="1" s="1"/>
  <c r="BF3" i="1" l="1"/>
  <c r="CD3" i="1" s="1"/>
  <c r="BH4" i="1"/>
  <c r="CF4" i="1" s="1"/>
  <c r="BJ4" i="1"/>
  <c r="CH4" i="1" s="1"/>
  <c r="BN4" i="1"/>
  <c r="CL4" i="1" s="1"/>
  <c r="BD4" i="1"/>
  <c r="CB4" i="1" s="1"/>
  <c r="BF4" i="1"/>
  <c r="CD4" i="1" s="1"/>
  <c r="BN16" i="1"/>
  <c r="CL16" i="1" s="1"/>
  <c r="BM16" i="1"/>
  <c r="CK16" i="1" s="1"/>
  <c r="BI16" i="1"/>
  <c r="CG16" i="1" s="1"/>
  <c r="BL16" i="1"/>
  <c r="CJ16" i="1" s="1"/>
  <c r="BD16" i="1"/>
  <c r="CB16" i="1" s="1"/>
  <c r="BF16" i="1"/>
  <c r="CD16" i="1" s="1"/>
  <c r="BJ16" i="1"/>
  <c r="CH16" i="1" s="1"/>
  <c r="BG16" i="1"/>
  <c r="CE16" i="1" s="1"/>
  <c r="BK16" i="1"/>
  <c r="CI16" i="1" s="1"/>
  <c r="BE16" i="1"/>
  <c r="CC16" i="1" s="1"/>
  <c r="BH16" i="1"/>
  <c r="CF16" i="1" s="1"/>
  <c r="BN20" i="1"/>
  <c r="CL20" i="1" s="1"/>
  <c r="BK20" i="1"/>
  <c r="CI20" i="1" s="1"/>
  <c r="BF20" i="1"/>
  <c r="CD20" i="1" s="1"/>
  <c r="BE20" i="1"/>
  <c r="CC20" i="1" s="1"/>
  <c r="BI20" i="1"/>
  <c r="CG20" i="1" s="1"/>
  <c r="BL20" i="1"/>
  <c r="CJ20" i="1" s="1"/>
  <c r="BG20" i="1"/>
  <c r="CE20" i="1" s="1"/>
  <c r="CP20" i="1" s="1"/>
  <c r="BD20" i="1"/>
  <c r="CB20" i="1" s="1"/>
  <c r="BM20" i="1"/>
  <c r="CK20" i="1" s="1"/>
  <c r="BJ20" i="1"/>
  <c r="CH20" i="1" s="1"/>
  <c r="BH20" i="1"/>
  <c r="CF20" i="1" s="1"/>
  <c r="BN15" i="1"/>
  <c r="CL15" i="1" s="1"/>
  <c r="BF15" i="1"/>
  <c r="CD15" i="1" s="1"/>
  <c r="BI15" i="1"/>
  <c r="CG15" i="1" s="1"/>
  <c r="BJ15" i="1"/>
  <c r="CH15" i="1" s="1"/>
  <c r="BL15" i="1"/>
  <c r="CJ15" i="1" s="1"/>
  <c r="BH15" i="1"/>
  <c r="CF15" i="1" s="1"/>
  <c r="BD15" i="1"/>
  <c r="CB15" i="1" s="1"/>
  <c r="BE15" i="1"/>
  <c r="CC15" i="1" s="1"/>
  <c r="BM15" i="1"/>
  <c r="CK15" i="1" s="1"/>
  <c r="BG15" i="1"/>
  <c r="CE15" i="1" s="1"/>
  <c r="BK15" i="1"/>
  <c r="CI15" i="1" s="1"/>
  <c r="BN18" i="1"/>
  <c r="CL18" i="1" s="1"/>
  <c r="BE18" i="1"/>
  <c r="CC18" i="1" s="1"/>
  <c r="BF18" i="1"/>
  <c r="CD18" i="1" s="1"/>
  <c r="BG18" i="1"/>
  <c r="CE18" i="1" s="1"/>
  <c r="BM18" i="1"/>
  <c r="CK18" i="1" s="1"/>
  <c r="BK18" i="1"/>
  <c r="CI18" i="1" s="1"/>
  <c r="BJ18" i="1"/>
  <c r="CH18" i="1" s="1"/>
  <c r="BI18" i="1"/>
  <c r="CG18" i="1" s="1"/>
  <c r="BL18" i="1"/>
  <c r="CJ18" i="1" s="1"/>
  <c r="BH18" i="1"/>
  <c r="CF18" i="1" s="1"/>
  <c r="BD18" i="1"/>
  <c r="CB18" i="1" s="1"/>
  <c r="BN19" i="1"/>
  <c r="CL19" i="1" s="1"/>
  <c r="BE19" i="1"/>
  <c r="CC19" i="1" s="1"/>
  <c r="BD19" i="1"/>
  <c r="CB19" i="1" s="1"/>
  <c r="BJ19" i="1"/>
  <c r="CH19" i="1" s="1"/>
  <c r="BM19" i="1"/>
  <c r="CK19" i="1" s="1"/>
  <c r="BF19" i="1"/>
  <c r="CD19" i="1" s="1"/>
  <c r="BI19" i="1"/>
  <c r="CG19" i="1" s="1"/>
  <c r="BL19" i="1"/>
  <c r="CJ19" i="1" s="1"/>
  <c r="BK19" i="1"/>
  <c r="CI19" i="1" s="1"/>
  <c r="BG19" i="1"/>
  <c r="CE19" i="1" s="1"/>
  <c r="BH19" i="1"/>
  <c r="CF19" i="1" s="1"/>
  <c r="BN17" i="1"/>
  <c r="CL17" i="1" s="1"/>
  <c r="BF17" i="1"/>
  <c r="CD17" i="1" s="1"/>
  <c r="BM17" i="1"/>
  <c r="CK17" i="1" s="1"/>
  <c r="BJ17" i="1"/>
  <c r="CH17" i="1" s="1"/>
  <c r="BH17" i="1"/>
  <c r="CF17" i="1" s="1"/>
  <c r="BK17" i="1"/>
  <c r="CI17" i="1" s="1"/>
  <c r="BI17" i="1"/>
  <c r="CG17" i="1" s="1"/>
  <c r="BL17" i="1"/>
  <c r="CJ17" i="1" s="1"/>
  <c r="BG17" i="1"/>
  <c r="CE17" i="1" s="1"/>
  <c r="BE17" i="1"/>
  <c r="CC17" i="1" s="1"/>
  <c r="BD17" i="1"/>
  <c r="CB17" i="1" s="1"/>
  <c r="BN6" i="1"/>
  <c r="CL6" i="1" s="1"/>
  <c r="BG4" i="1"/>
  <c r="CE4" i="1" s="1"/>
  <c r="BI4" i="1"/>
  <c r="CG4" i="1" s="1"/>
  <c r="BE4" i="1"/>
  <c r="CC4" i="1" s="1"/>
  <c r="BL4" i="1"/>
  <c r="CJ4" i="1" s="1"/>
  <c r="BK4" i="1"/>
  <c r="CI4" i="1" s="1"/>
  <c r="BM4" i="1"/>
  <c r="CK4" i="1" s="1"/>
  <c r="BM3" i="1"/>
  <c r="CK3" i="1" s="1"/>
  <c r="BJ3" i="1"/>
  <c r="CH3" i="1" s="1"/>
  <c r="BH3" i="1"/>
  <c r="CF3" i="1" s="1"/>
  <c r="BK6" i="1"/>
  <c r="CI6" i="1" s="1"/>
  <c r="CP6" i="1" s="1"/>
  <c r="BD6" i="1"/>
  <c r="CB6" i="1" s="1"/>
  <c r="BI6" i="1"/>
  <c r="CG6" i="1" s="1"/>
  <c r="BH6" i="1"/>
  <c r="CF6" i="1" s="1"/>
  <c r="BF6" i="1"/>
  <c r="CD6" i="1" s="1"/>
  <c r="BE6" i="1"/>
  <c r="CC6" i="1" s="1"/>
  <c r="BJ6" i="1"/>
  <c r="CH6" i="1" s="1"/>
  <c r="BM6" i="1"/>
  <c r="CK6" i="1" s="1"/>
  <c r="BL6" i="1"/>
  <c r="CJ6" i="1" s="1"/>
  <c r="BD9" i="1"/>
  <c r="CB9" i="1" s="1"/>
  <c r="BJ9" i="1"/>
  <c r="CH9" i="1" s="1"/>
  <c r="BG9" i="1"/>
  <c r="CE9" i="1" s="1"/>
  <c r="BM9" i="1"/>
  <c r="CK9" i="1" s="1"/>
  <c r="BH9" i="1"/>
  <c r="CF9" i="1" s="1"/>
  <c r="BN9" i="1"/>
  <c r="CL9" i="1" s="1"/>
  <c r="BK9" i="1"/>
  <c r="CI9" i="1" s="1"/>
  <c r="BF9" i="1"/>
  <c r="CD9" i="1" s="1"/>
  <c r="BI9" i="1"/>
  <c r="CG9" i="1" s="1"/>
  <c r="BL9" i="1"/>
  <c r="CJ9" i="1" s="1"/>
  <c r="BE9" i="1"/>
  <c r="CC9" i="1" s="1"/>
  <c r="BL11" i="1"/>
  <c r="CJ11" i="1" s="1"/>
  <c r="BI11" i="1"/>
  <c r="CG11" i="1" s="1"/>
  <c r="BK11" i="1"/>
  <c r="CI11" i="1" s="1"/>
  <c r="CP11" i="1" s="1"/>
  <c r="BD11" i="1"/>
  <c r="CB11" i="1" s="1"/>
  <c r="BH11" i="1"/>
  <c r="CF11" i="1" s="1"/>
  <c r="BM11" i="1"/>
  <c r="CK11" i="1" s="1"/>
  <c r="BF11" i="1"/>
  <c r="CD11" i="1" s="1"/>
  <c r="BE11" i="1"/>
  <c r="CC11" i="1" s="1"/>
  <c r="BG11" i="1"/>
  <c r="CE11" i="1" s="1"/>
  <c r="BJ11" i="1"/>
  <c r="CH11" i="1" s="1"/>
  <c r="BI5" i="1"/>
  <c r="CG5" i="1" s="1"/>
  <c r="BK5" i="1"/>
  <c r="CI5" i="1" s="1"/>
  <c r="BD5" i="1"/>
  <c r="CB5" i="1" s="1"/>
  <c r="BH5" i="1"/>
  <c r="CF5" i="1" s="1"/>
  <c r="BN11" i="1"/>
  <c r="CL11" i="1" s="1"/>
  <c r="BK3" i="1"/>
  <c r="CI3" i="1" s="1"/>
  <c r="BI3" i="1"/>
  <c r="CG3" i="1" s="1"/>
  <c r="BM7" i="1"/>
  <c r="CK7" i="1" s="1"/>
  <c r="BN3" i="1"/>
  <c r="CL3" i="1" s="1"/>
  <c r="CB3" i="1"/>
  <c r="BG3" i="1"/>
  <c r="CE3" i="1" s="1"/>
  <c r="BE3" i="1"/>
  <c r="CC3" i="1" s="1"/>
  <c r="BH7" i="1"/>
  <c r="CF7" i="1" s="1"/>
  <c r="BJ12" i="1"/>
  <c r="CH12" i="1" s="1"/>
  <c r="BL3" i="1"/>
  <c r="CJ3" i="1" s="1"/>
  <c r="BL5" i="1"/>
  <c r="CJ5" i="1" s="1"/>
  <c r="BL7" i="1"/>
  <c r="CJ7" i="1" s="1"/>
  <c r="BL8" i="1"/>
  <c r="CJ8" i="1" s="1"/>
  <c r="BM5" i="1"/>
  <c r="CK5" i="1" s="1"/>
  <c r="BI8" i="1"/>
  <c r="CG8" i="1" s="1"/>
  <c r="BI7" i="1"/>
  <c r="CG7" i="1" s="1"/>
  <c r="BK8" i="1"/>
  <c r="CI8" i="1" s="1"/>
  <c r="BJ7" i="1"/>
  <c r="CH7" i="1" s="1"/>
  <c r="BM8" i="1"/>
  <c r="CK8" i="1" s="1"/>
  <c r="BJ10" i="1"/>
  <c r="CH10" i="1" s="1"/>
  <c r="BL10" i="1"/>
  <c r="CJ10" i="1" s="1"/>
  <c r="BK12" i="1"/>
  <c r="CI12" i="1" s="1"/>
  <c r="BH10" i="1"/>
  <c r="CF10" i="1" s="1"/>
  <c r="BH12" i="1"/>
  <c r="CF12" i="1" s="1"/>
  <c r="BG8" i="1"/>
  <c r="CE8" i="1" s="1"/>
  <c r="BF8" i="1"/>
  <c r="CD8" i="1" s="1"/>
  <c r="BE5" i="1"/>
  <c r="CC5" i="1" s="1"/>
  <c r="BN7" i="1"/>
  <c r="CL7" i="1" s="1"/>
  <c r="BG10" i="1"/>
  <c r="CE10" i="1" s="1"/>
  <c r="BD12" i="1"/>
  <c r="CB12" i="1" s="1"/>
  <c r="BE10" i="1"/>
  <c r="CC10" i="1" s="1"/>
  <c r="BE12" i="1"/>
  <c r="CC12" i="1" s="1"/>
  <c r="BD8" i="1"/>
  <c r="CB8" i="1" s="1"/>
  <c r="BJ8" i="1"/>
  <c r="CH8" i="1" s="1"/>
  <c r="BK7" i="1"/>
  <c r="CI7" i="1" s="1"/>
  <c r="BK10" i="1"/>
  <c r="CI10" i="1" s="1"/>
  <c r="CP10" i="1" s="1"/>
  <c r="BL12" i="1"/>
  <c r="CJ12" i="1" s="1"/>
  <c r="BF10" i="1"/>
  <c r="CD10" i="1" s="1"/>
  <c r="BF12" i="1"/>
  <c r="CD12" i="1" s="1"/>
  <c r="BI10" i="1"/>
  <c r="CG10" i="1" s="1"/>
  <c r="BI12" i="1"/>
  <c r="CG12" i="1" s="1"/>
  <c r="BF5" i="1"/>
  <c r="CD5" i="1" s="1"/>
  <c r="BJ5" i="1"/>
  <c r="CH5" i="1" s="1"/>
  <c r="BN5" i="1"/>
  <c r="CL5" i="1" s="1"/>
  <c r="BG5" i="1"/>
  <c r="CE5" i="1" s="1"/>
  <c r="BE7" i="1"/>
  <c r="CC7" i="1" s="1"/>
  <c r="BH8" i="1"/>
  <c r="CF8" i="1" s="1"/>
  <c r="BD7" i="1"/>
  <c r="CB7" i="1" s="1"/>
  <c r="BG7" i="1"/>
  <c r="CE7" i="1" s="1"/>
  <c r="BN8" i="1"/>
  <c r="CL8" i="1" s="1"/>
  <c r="BD10" i="1"/>
  <c r="CB10" i="1" s="1"/>
  <c r="BG12" i="1"/>
  <c r="CE12" i="1" s="1"/>
  <c r="BN10" i="1"/>
  <c r="CL10" i="1" s="1"/>
  <c r="BN12" i="1"/>
  <c r="CL12" i="1" s="1"/>
  <c r="CR12" i="1" l="1"/>
  <c r="CP7" i="1"/>
  <c r="CO8" i="1"/>
  <c r="CR8" i="1"/>
  <c r="CP5" i="1"/>
  <c r="CR10" i="1"/>
  <c r="CO10" i="1"/>
  <c r="CR6" i="1"/>
  <c r="CO6" i="1"/>
  <c r="CP4" i="1"/>
  <c r="CO9" i="1"/>
  <c r="CR9" i="1"/>
  <c r="CO5" i="1"/>
  <c r="CR5" i="1"/>
  <c r="CO11" i="1"/>
  <c r="CR11" i="1"/>
  <c r="CO7" i="1"/>
  <c r="CR7" i="1"/>
  <c r="CP8" i="1"/>
  <c r="CP9" i="1"/>
  <c r="CR4" i="1"/>
  <c r="CO4" i="1"/>
  <c r="CO19" i="1"/>
  <c r="CO17" i="1"/>
  <c r="CP18" i="1"/>
  <c r="CM18" i="1"/>
  <c r="CP15" i="1"/>
  <c r="CP16" i="1"/>
  <c r="CM17" i="1"/>
  <c r="CP19" i="1"/>
  <c r="CO18" i="1"/>
  <c r="CM15" i="1"/>
  <c r="CM20" i="1"/>
  <c r="CM16" i="1"/>
  <c r="CO20" i="1"/>
  <c r="CO16" i="1"/>
  <c r="CP17" i="1"/>
  <c r="CO15" i="1"/>
  <c r="CM19" i="1"/>
  <c r="CM7" i="1"/>
  <c r="CM4" i="1"/>
  <c r="CM9" i="1"/>
  <c r="CM12" i="1"/>
  <c r="CM5" i="1"/>
  <c r="CM8" i="1"/>
  <c r="CM3" i="1"/>
  <c r="CM10" i="1"/>
  <c r="CM6" i="1"/>
  <c r="CM11" i="1"/>
</calcChain>
</file>

<file path=xl/sharedStrings.xml><?xml version="1.0" encoding="utf-8"?>
<sst xmlns="http://schemas.openxmlformats.org/spreadsheetml/2006/main" count="142" uniqueCount="63">
  <si>
    <t xml:space="preserve">B2-3 </t>
  </si>
  <si>
    <t xml:space="preserve">B2-4 </t>
  </si>
  <si>
    <t xml:space="preserve">B2-17 </t>
  </si>
  <si>
    <t xml:space="preserve">B2-20 </t>
  </si>
  <si>
    <t xml:space="preserve">B2-21 </t>
  </si>
  <si>
    <t xml:space="preserve">B2-22 </t>
  </si>
  <si>
    <t xml:space="preserve">B2-27 </t>
  </si>
  <si>
    <t xml:space="preserve">B2-30 </t>
  </si>
  <si>
    <t xml:space="preserve">B2-31 </t>
  </si>
  <si>
    <t xml:space="preserve">B2-4(5u) </t>
  </si>
  <si>
    <t>Analysis #</t>
  </si>
  <si>
    <t>Oxide molecular weight</t>
  </si>
  <si>
    <t>Oxide abundance (wt.%)</t>
  </si>
  <si>
    <t xml:space="preserve">SiO2  </t>
  </si>
  <si>
    <t xml:space="preserve">TiO2  </t>
  </si>
  <si>
    <t xml:space="preserve">Al2O3 </t>
  </si>
  <si>
    <t xml:space="preserve">FeO   </t>
  </si>
  <si>
    <t xml:space="preserve">MnO   </t>
  </si>
  <si>
    <t xml:space="preserve">MgO   </t>
  </si>
  <si>
    <t xml:space="preserve">CaO   </t>
  </si>
  <si>
    <t xml:space="preserve">Na2O  </t>
  </si>
  <si>
    <t xml:space="preserve">K2O   </t>
  </si>
  <si>
    <t xml:space="preserve">Cr2O3 </t>
  </si>
  <si>
    <t xml:space="preserve">P2O5  </t>
  </si>
  <si>
    <t xml:space="preserve">Total  </t>
  </si>
  <si>
    <t>Mole number</t>
  </si>
  <si>
    <t>Number of oxygen atoms</t>
  </si>
  <si>
    <t>Sum</t>
  </si>
  <si>
    <t>#O in formula</t>
  </si>
  <si>
    <t>Factor</t>
  </si>
  <si>
    <t>Oxygen number</t>
  </si>
  <si>
    <t>Normalised oxygen number</t>
  </si>
  <si>
    <t>Total</t>
  </si>
  <si>
    <t>Number of cation per oxygen</t>
  </si>
  <si>
    <t>Atoms per formula unit</t>
  </si>
  <si>
    <t>%An</t>
  </si>
  <si>
    <t>%Ab</t>
  </si>
  <si>
    <t>Name</t>
  </si>
  <si>
    <t>Bytownite</t>
  </si>
  <si>
    <t>Anorthite</t>
  </si>
  <si>
    <t xml:space="preserve">Si  </t>
  </si>
  <si>
    <t xml:space="preserve">Ti </t>
  </si>
  <si>
    <t>Al</t>
  </si>
  <si>
    <t xml:space="preserve">Fe   </t>
  </si>
  <si>
    <t xml:space="preserve">Mn </t>
  </si>
  <si>
    <t xml:space="preserve">Mg  </t>
  </si>
  <si>
    <t xml:space="preserve">Ca   </t>
  </si>
  <si>
    <t xml:space="preserve">Na  </t>
  </si>
  <si>
    <t xml:space="preserve">K   </t>
  </si>
  <si>
    <t xml:space="preserve">Cr </t>
  </si>
  <si>
    <t xml:space="preserve">P  </t>
  </si>
  <si>
    <t>Mineral</t>
  </si>
  <si>
    <t>Plagioclase</t>
  </si>
  <si>
    <t>Olivine</t>
  </si>
  <si>
    <t>B2(2)_0061_QNT_4</t>
  </si>
  <si>
    <t>B2(2)_0061_QNT_5</t>
  </si>
  <si>
    <t>B2(2)_0061_QNT_6</t>
  </si>
  <si>
    <t>B2(2)_0061_QNT_8</t>
  </si>
  <si>
    <t>B2(2)_0061_QNT_9</t>
  </si>
  <si>
    <t>B2(2)_0061_QNT_10</t>
  </si>
  <si>
    <t>%Fo</t>
  </si>
  <si>
    <t>%Fa</t>
  </si>
  <si>
    <t>without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</si>
</sst>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2" fillId="0" borderId="0" xfId="0" applyFont="1" applyAlignment="1">
      <alignment horizontal="left"/>
    </xf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/>
    <xf numFmtId="2" fontId="2" fillId="0" borderId="0" xfId="0" applyNumberFormat="1" applyFont="1"/>
    <xf numFmtId="2" fontId="1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1" fillId="0" borderId="0" xfId="0" applyFont="1" applyFill="1"/>
    <xf numFmtId="164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100</xdr:col>
      <xdr:colOff>69901</xdr:colOff>
      <xdr:row>2</xdr:row>
      <xdr:rowOff>67597</xdr:rowOff>
    </xdr:from>
    <xdr:to>
      <xdr:col>110</xdr:col>
      <xdr:colOff>197879</xdr:colOff>
      <xdr:row>16</xdr:row>
      <xdr:rowOff>141722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04839" y="484316"/>
          <a:ext cx="6200165" cy="27292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100</xdr:col>
      <xdr:colOff>72589</xdr:colOff>
      <xdr:row>10</xdr:row>
      <xdr:rowOff>158239</xdr:rowOff>
    </xdr:from>
    <xdr:ext cx="3353995" cy="66749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1007527" y="2098958"/>
          <a:ext cx="3353995" cy="667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3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There are</a:t>
          </a:r>
          <a:r>
            <a:rPr lang="en-GB" sz="13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5 cations in total in a plagioclase</a:t>
          </a:r>
        </a:p>
        <a:p>
          <a:r>
            <a:rPr lang="en-GB" sz="13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The total in column CL must be close to 5.</a:t>
          </a:r>
        </a:p>
        <a:p>
          <a:r>
            <a:rPr lang="en-GB" sz="13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If not there is an issue with analysis.</a:t>
          </a:r>
          <a:endParaRPr lang="en-GB" sz="13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3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S25" sqref="CS25"/>
    </sheetView>
  </sheetViews>
  <sheetFormatPr defaultRowHeight="14.25" x14ac:dyDescent="0.2"/>
  <cols>
    <col min="1" max="1" width="25.140625" style="1" bestFit="1" customWidth="1"/>
    <col min="2" max="2" width="17.5703125" style="1" customWidth="1"/>
    <col min="3" max="14" width="8.7109375" style="1" customWidth="1"/>
    <col min="15" max="15" width="3.7109375" style="1" customWidth="1"/>
    <col min="16" max="26" width="8.85546875" style="1" customWidth="1"/>
    <col min="27" max="27" width="3.7109375" style="1" customWidth="1"/>
    <col min="28" max="38" width="6.85546875" style="1" customWidth="1"/>
    <col min="39" max="39" width="3.7109375" style="1" customWidth="1"/>
    <col min="40" max="51" width="7.85546875" style="1" customWidth="1"/>
    <col min="52" max="52" width="3.7109375" style="1" customWidth="1"/>
    <col min="53" max="53" width="14.5703125" style="1" bestFit="1" customWidth="1"/>
    <col min="54" max="54" width="7.42578125" style="1" bestFit="1" customWidth="1"/>
    <col min="55" max="55" width="3.7109375" style="1" customWidth="1"/>
    <col min="56" max="66" width="7.7109375" style="1" customWidth="1"/>
    <col min="67" max="67" width="3.7109375" style="1" customWidth="1"/>
    <col min="68" max="78" width="6.85546875" style="1" customWidth="1"/>
    <col min="79" max="79" width="3.7109375" style="1" customWidth="1"/>
    <col min="80" max="91" width="7.85546875" style="1" customWidth="1"/>
    <col min="92" max="92" width="3.7109375" style="1" customWidth="1"/>
    <col min="93" max="94" width="7.85546875" style="1" customWidth="1"/>
    <col min="95" max="97" width="7.85546875" style="25" customWidth="1"/>
    <col min="98" max="98" width="7.85546875" style="1" customWidth="1"/>
    <col min="99" max="99" width="10.85546875" style="1" customWidth="1"/>
    <col min="100" max="16384" width="9.140625" style="1"/>
  </cols>
  <sheetData>
    <row r="1" spans="1:99" s="11" customFormat="1" ht="18" customHeight="1" x14ac:dyDescent="0.25">
      <c r="C1" s="12" t="s">
        <v>12</v>
      </c>
      <c r="P1" s="12" t="s">
        <v>25</v>
      </c>
      <c r="AB1" s="12" t="s">
        <v>26</v>
      </c>
      <c r="AN1" s="12" t="s">
        <v>30</v>
      </c>
      <c r="BD1" s="12" t="s">
        <v>31</v>
      </c>
      <c r="BP1" s="12" t="s">
        <v>33</v>
      </c>
      <c r="CB1" s="12" t="s">
        <v>34</v>
      </c>
      <c r="CQ1" s="22"/>
      <c r="CR1" s="27" t="s">
        <v>62</v>
      </c>
      <c r="CS1" s="22"/>
    </row>
    <row r="2" spans="1:99" ht="15" x14ac:dyDescent="0.25">
      <c r="A2" s="6" t="s">
        <v>10</v>
      </c>
      <c r="B2" s="6" t="s">
        <v>51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P2" s="8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8" t="s">
        <v>18</v>
      </c>
      <c r="V2" s="8" t="s">
        <v>19</v>
      </c>
      <c r="W2" s="8" t="s">
        <v>20</v>
      </c>
      <c r="X2" s="8" t="s">
        <v>21</v>
      </c>
      <c r="Y2" s="8" t="s">
        <v>22</v>
      </c>
      <c r="Z2" s="8" t="s">
        <v>23</v>
      </c>
      <c r="AB2" s="8" t="s">
        <v>13</v>
      </c>
      <c r="AC2" s="8" t="s">
        <v>14</v>
      </c>
      <c r="AD2" s="8" t="s">
        <v>15</v>
      </c>
      <c r="AE2" s="8" t="s">
        <v>16</v>
      </c>
      <c r="AF2" s="8" t="s">
        <v>17</v>
      </c>
      <c r="AG2" s="8" t="s">
        <v>18</v>
      </c>
      <c r="AH2" s="8" t="s">
        <v>19</v>
      </c>
      <c r="AI2" s="8" t="s">
        <v>20</v>
      </c>
      <c r="AJ2" s="8" t="s">
        <v>21</v>
      </c>
      <c r="AK2" s="8" t="s">
        <v>22</v>
      </c>
      <c r="AL2" s="8" t="s">
        <v>23</v>
      </c>
      <c r="AN2" s="8" t="s">
        <v>13</v>
      </c>
      <c r="AO2" s="8" t="s">
        <v>14</v>
      </c>
      <c r="AP2" s="8" t="s">
        <v>15</v>
      </c>
      <c r="AQ2" s="8" t="s">
        <v>16</v>
      </c>
      <c r="AR2" s="8" t="s">
        <v>17</v>
      </c>
      <c r="AS2" s="8" t="s">
        <v>18</v>
      </c>
      <c r="AT2" s="8" t="s">
        <v>19</v>
      </c>
      <c r="AU2" s="8" t="s">
        <v>20</v>
      </c>
      <c r="AV2" s="8" t="s">
        <v>21</v>
      </c>
      <c r="AW2" s="8" t="s">
        <v>22</v>
      </c>
      <c r="AX2" s="8" t="s">
        <v>23</v>
      </c>
      <c r="AY2" s="2" t="s">
        <v>27</v>
      </c>
      <c r="BA2" s="2" t="s">
        <v>28</v>
      </c>
      <c r="BB2" s="2" t="s">
        <v>29</v>
      </c>
      <c r="BD2" s="8" t="s">
        <v>13</v>
      </c>
      <c r="BE2" s="8" t="s">
        <v>14</v>
      </c>
      <c r="BF2" s="8" t="s">
        <v>15</v>
      </c>
      <c r="BG2" s="8" t="s">
        <v>16</v>
      </c>
      <c r="BH2" s="8" t="s">
        <v>17</v>
      </c>
      <c r="BI2" s="8" t="s">
        <v>18</v>
      </c>
      <c r="BJ2" s="8" t="s">
        <v>19</v>
      </c>
      <c r="BK2" s="8" t="s">
        <v>20</v>
      </c>
      <c r="BL2" s="8" t="s">
        <v>21</v>
      </c>
      <c r="BM2" s="8" t="s">
        <v>22</v>
      </c>
      <c r="BN2" s="8" t="s">
        <v>23</v>
      </c>
      <c r="BP2" s="8" t="s">
        <v>13</v>
      </c>
      <c r="BQ2" s="8" t="s">
        <v>14</v>
      </c>
      <c r="BR2" s="8" t="s">
        <v>15</v>
      </c>
      <c r="BS2" s="8" t="s">
        <v>16</v>
      </c>
      <c r="BT2" s="8" t="s">
        <v>17</v>
      </c>
      <c r="BU2" s="8" t="s">
        <v>18</v>
      </c>
      <c r="BV2" s="8" t="s">
        <v>19</v>
      </c>
      <c r="BW2" s="8" t="s">
        <v>20</v>
      </c>
      <c r="BX2" s="8" t="s">
        <v>21</v>
      </c>
      <c r="BY2" s="8" t="s">
        <v>22</v>
      </c>
      <c r="BZ2" s="8" t="s">
        <v>23</v>
      </c>
      <c r="CB2" s="8" t="s">
        <v>40</v>
      </c>
      <c r="CC2" s="8" t="s">
        <v>41</v>
      </c>
      <c r="CD2" s="8" t="s">
        <v>42</v>
      </c>
      <c r="CE2" s="8" t="s">
        <v>43</v>
      </c>
      <c r="CF2" s="8" t="s">
        <v>44</v>
      </c>
      <c r="CG2" s="8" t="s">
        <v>45</v>
      </c>
      <c r="CH2" s="8" t="s">
        <v>46</v>
      </c>
      <c r="CI2" s="8" t="s">
        <v>47</v>
      </c>
      <c r="CJ2" s="8" t="s">
        <v>48</v>
      </c>
      <c r="CK2" s="8" t="s">
        <v>49</v>
      </c>
      <c r="CL2" s="8" t="s">
        <v>50</v>
      </c>
      <c r="CM2" s="2" t="s">
        <v>32</v>
      </c>
      <c r="CO2" s="13" t="s">
        <v>35</v>
      </c>
      <c r="CP2" s="13" t="s">
        <v>36</v>
      </c>
      <c r="CQ2" s="23"/>
      <c r="CR2" s="28" t="s">
        <v>35</v>
      </c>
      <c r="CS2" s="28" t="s">
        <v>36</v>
      </c>
      <c r="CT2" s="8"/>
      <c r="CU2" s="15" t="s">
        <v>37</v>
      </c>
    </row>
    <row r="3" spans="1:99" ht="15" x14ac:dyDescent="0.25">
      <c r="A3" s="3" t="s">
        <v>0</v>
      </c>
      <c r="B3" s="3" t="s">
        <v>52</v>
      </c>
      <c r="C3" s="4">
        <v>50.893000000000001</v>
      </c>
      <c r="D3" s="4">
        <v>5.8999999999999997E-2</v>
      </c>
      <c r="E3" s="4">
        <v>30.77</v>
      </c>
      <c r="F3" s="4">
        <v>1.028</v>
      </c>
      <c r="G3" s="4">
        <v>4.8000000000000001E-2</v>
      </c>
      <c r="H3" s="4">
        <v>0.125</v>
      </c>
      <c r="I3" s="4">
        <v>14.798999999999999</v>
      </c>
      <c r="J3" s="4">
        <v>2.3010000000000002</v>
      </c>
      <c r="K3" s="4">
        <v>0.23200000000000001</v>
      </c>
      <c r="L3" s="4">
        <v>0</v>
      </c>
      <c r="M3" s="4">
        <v>3.7999999999999999E-2</v>
      </c>
      <c r="N3" s="4">
        <f>SUM(C3:M3)</f>
        <v>100.29300000000001</v>
      </c>
      <c r="P3" s="5">
        <f t="shared" ref="P3:P12" si="0">C3/C$23</f>
        <v>0.84703082351374737</v>
      </c>
      <c r="Q3" s="5">
        <f t="shared" ref="Q3:Q12" si="1">D3/D$23</f>
        <v>7.3873738512007607E-4</v>
      </c>
      <c r="R3" s="5">
        <f t="shared" ref="R3:R12" si="2">E3/E$23</f>
        <v>0.30178205392257823</v>
      </c>
      <c r="S3" s="5">
        <f t="shared" ref="S3:S12" si="3">F3/F$23</f>
        <v>1.4308780134736375E-2</v>
      </c>
      <c r="T3" s="5">
        <f t="shared" ref="T3:T12" si="4">G3/G$23</f>
        <v>6.7665675176565123E-4</v>
      </c>
      <c r="U3" s="5">
        <f t="shared" ref="U3:U12" si="5">H3/H$23</f>
        <v>3.1014291385470425E-3</v>
      </c>
      <c r="V3" s="5">
        <f t="shared" ref="V3:V12" si="6">I3/I$23</f>
        <v>0.26390498778465327</v>
      </c>
      <c r="W3" s="5">
        <f t="shared" ref="W3:W12" si="7">J3/J$23</f>
        <v>3.7125477984478614E-2</v>
      </c>
      <c r="X3" s="5">
        <f t="shared" ref="X3:X12" si="8">K3/K$23</f>
        <v>2.4629495944626101E-3</v>
      </c>
      <c r="Y3" s="5">
        <f t="shared" ref="Y3:Y12" si="9">L3/L$23</f>
        <v>0</v>
      </c>
      <c r="Z3" s="5">
        <f t="shared" ref="Z3:Z12" si="10">M3/M$23</f>
        <v>2.6770178021683842E-4</v>
      </c>
      <c r="AB3" s="1">
        <v>2</v>
      </c>
      <c r="AC3" s="1">
        <v>2</v>
      </c>
      <c r="AD3" s="1">
        <v>3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3</v>
      </c>
      <c r="AL3" s="1">
        <v>5</v>
      </c>
      <c r="AN3" s="5">
        <f>P3*AB3</f>
        <v>1.6940616470274947</v>
      </c>
      <c r="AO3" s="5">
        <f t="shared" ref="AO3:AX3" si="11">Q3*AC3</f>
        <v>1.4774747702401521E-3</v>
      </c>
      <c r="AP3" s="5">
        <f t="shared" si="11"/>
        <v>0.90534616176773475</v>
      </c>
      <c r="AQ3" s="5">
        <f t="shared" si="11"/>
        <v>1.4308780134736375E-2</v>
      </c>
      <c r="AR3" s="5">
        <f t="shared" si="11"/>
        <v>6.7665675176565123E-4</v>
      </c>
      <c r="AS3" s="5">
        <f t="shared" si="11"/>
        <v>3.1014291385470425E-3</v>
      </c>
      <c r="AT3" s="5">
        <f t="shared" si="11"/>
        <v>0.26390498778465327</v>
      </c>
      <c r="AU3" s="5">
        <f t="shared" si="11"/>
        <v>3.7125477984478614E-2</v>
      </c>
      <c r="AV3" s="5">
        <f t="shared" si="11"/>
        <v>2.4629495944626101E-3</v>
      </c>
      <c r="AW3" s="5">
        <f t="shared" si="11"/>
        <v>0</v>
      </c>
      <c r="AX3" s="5">
        <f t="shared" si="11"/>
        <v>1.338508901084192E-3</v>
      </c>
      <c r="AY3" s="5">
        <f>SUM(AN3:AX3)</f>
        <v>2.9238040738551976</v>
      </c>
      <c r="BA3" s="1">
        <v>8</v>
      </c>
      <c r="BB3" s="7">
        <f>BA3/AY3</f>
        <v>2.7361614519715602</v>
      </c>
      <c r="BD3" s="10">
        <f>AN3*$BB3</f>
        <v>4.6352261758600823</v>
      </c>
      <c r="BE3" s="10">
        <f t="shared" ref="BE3:BN3" si="12">AO3*$BB3</f>
        <v>4.0426095125916418E-3</v>
      </c>
      <c r="BF3" s="10">
        <f>AP3*$BB3</f>
        <v>2.4771732685192842</v>
      </c>
      <c r="BG3" s="10">
        <f t="shared" si="12"/>
        <v>3.9151132629402098E-2</v>
      </c>
      <c r="BH3" s="10">
        <f t="shared" si="12"/>
        <v>1.8514421203974639E-3</v>
      </c>
      <c r="BI3" s="10">
        <f t="shared" si="12"/>
        <v>8.4860108549137808E-3</v>
      </c>
      <c r="BJ3" s="10">
        <f t="shared" si="12"/>
        <v>0.7220866545593938</v>
      </c>
      <c r="BK3" s="10">
        <f t="shared" si="12"/>
        <v>0.1015813017471492</v>
      </c>
      <c r="BL3" s="10">
        <f t="shared" si="12"/>
        <v>6.7390277385175803E-3</v>
      </c>
      <c r="BM3" s="10">
        <f t="shared" si="12"/>
        <v>0</v>
      </c>
      <c r="BN3" s="10">
        <f t="shared" si="12"/>
        <v>3.6623764582673804E-3</v>
      </c>
      <c r="BP3" s="1">
        <f>1/2</f>
        <v>0.5</v>
      </c>
      <c r="BQ3" s="1">
        <f>1/2</f>
        <v>0.5</v>
      </c>
      <c r="BR3" s="7">
        <f>2/3</f>
        <v>0.66666666666666663</v>
      </c>
      <c r="BS3" s="1">
        <f>1/1</f>
        <v>1</v>
      </c>
      <c r="BT3" s="1">
        <f>1/1</f>
        <v>1</v>
      </c>
      <c r="BU3" s="1">
        <f>1/1</f>
        <v>1</v>
      </c>
      <c r="BV3" s="1">
        <f>1/1</f>
        <v>1</v>
      </c>
      <c r="BW3" s="1">
        <f>2/1</f>
        <v>2</v>
      </c>
      <c r="BX3" s="1">
        <f>2/1</f>
        <v>2</v>
      </c>
      <c r="BY3" s="7">
        <f>2/3</f>
        <v>0.66666666666666663</v>
      </c>
      <c r="BZ3" s="7">
        <f>2/5</f>
        <v>0.4</v>
      </c>
      <c r="CB3" s="10">
        <f>BD3*BP3</f>
        <v>2.3176130879300412</v>
      </c>
      <c r="CC3" s="10">
        <f t="shared" ref="CC3:CK3" si="13">BE3*BQ3</f>
        <v>2.0213047562958209E-3</v>
      </c>
      <c r="CD3" s="10">
        <f t="shared" si="13"/>
        <v>1.6514488456795227</v>
      </c>
      <c r="CE3" s="10">
        <f t="shared" si="13"/>
        <v>3.9151132629402098E-2</v>
      </c>
      <c r="CF3" s="10">
        <f t="shared" si="13"/>
        <v>1.8514421203974639E-3</v>
      </c>
      <c r="CG3" s="10">
        <f t="shared" si="13"/>
        <v>8.4860108549137808E-3</v>
      </c>
      <c r="CH3" s="10">
        <f t="shared" si="13"/>
        <v>0.7220866545593938</v>
      </c>
      <c r="CI3" s="10">
        <f t="shared" si="13"/>
        <v>0.2031626034942984</v>
      </c>
      <c r="CJ3" s="10">
        <f t="shared" si="13"/>
        <v>1.3478055477035161E-2</v>
      </c>
      <c r="CK3" s="10">
        <f t="shared" si="13"/>
        <v>0</v>
      </c>
      <c r="CL3" s="10">
        <f>BN3*BZ3</f>
        <v>1.4649505833069522E-3</v>
      </c>
      <c r="CM3" s="17">
        <f>SUM(CB3:CL3)</f>
        <v>4.9607640880846073</v>
      </c>
      <c r="CO3" s="14">
        <f>CH3/($CH3+$CI3+$CJ3)*100</f>
        <v>76.921875410601629</v>
      </c>
      <c r="CP3" s="14">
        <f>CI3/($CH3+$CI3+CJ3)*100</f>
        <v>21.642344967056111</v>
      </c>
      <c r="CQ3" s="24"/>
      <c r="CR3" s="21">
        <f>CH3/($CH3+$CI3)*100</f>
        <v>78.042392174227629</v>
      </c>
      <c r="CS3" s="21">
        <f>CI3/(CH3+CI3)*100</f>
        <v>21.957607825772378</v>
      </c>
      <c r="CU3" s="16" t="s">
        <v>38</v>
      </c>
    </row>
    <row r="4" spans="1:99" ht="15" x14ac:dyDescent="0.25">
      <c r="A4" s="3" t="s">
        <v>1</v>
      </c>
      <c r="B4" s="3" t="s">
        <v>52</v>
      </c>
      <c r="C4" s="4">
        <v>45.381999999999998</v>
      </c>
      <c r="D4" s="4">
        <v>5.2999999999999999E-2</v>
      </c>
      <c r="E4" s="4">
        <v>32.847999999999999</v>
      </c>
      <c r="F4" s="4">
        <v>0.27500000000000002</v>
      </c>
      <c r="G4" s="4">
        <v>0</v>
      </c>
      <c r="H4" s="4">
        <v>0.114</v>
      </c>
      <c r="I4" s="4">
        <v>18.085999999999999</v>
      </c>
      <c r="J4" s="4">
        <v>0.56699999999999995</v>
      </c>
      <c r="K4" s="4">
        <v>4.3999999999999997E-2</v>
      </c>
      <c r="L4" s="4">
        <v>0</v>
      </c>
      <c r="M4" s="4">
        <v>0.02</v>
      </c>
      <c r="N4" s="18">
        <f t="shared" ref="N4:N12" si="14">SUM(C4:M4)</f>
        <v>97.388999999999982</v>
      </c>
      <c r="P4" s="5">
        <f t="shared" si="0"/>
        <v>0.75530923373943137</v>
      </c>
      <c r="Q4" s="5">
        <f t="shared" si="1"/>
        <v>6.6361154934515307E-4</v>
      </c>
      <c r="R4" s="5">
        <f t="shared" si="2"/>
        <v>0.32216239542570196</v>
      </c>
      <c r="S4" s="5">
        <f t="shared" si="3"/>
        <v>3.8277378765102172E-3</v>
      </c>
      <c r="T4" s="5">
        <f t="shared" si="4"/>
        <v>0</v>
      </c>
      <c r="U4" s="5">
        <f t="shared" si="5"/>
        <v>2.8285033743549026E-3</v>
      </c>
      <c r="V4" s="5">
        <f t="shared" si="6"/>
        <v>0.32252081958735307</v>
      </c>
      <c r="W4" s="5">
        <f t="shared" si="7"/>
        <v>9.1482598944803879E-3</v>
      </c>
      <c r="X4" s="5">
        <f t="shared" si="8"/>
        <v>4.6711112998428807E-4</v>
      </c>
      <c r="Y4" s="5">
        <f t="shared" si="9"/>
        <v>0</v>
      </c>
      <c r="Z4" s="5">
        <f t="shared" si="10"/>
        <v>1.4089567379833601E-4</v>
      </c>
      <c r="AB4" s="1">
        <v>2</v>
      </c>
      <c r="AC4" s="1">
        <v>2</v>
      </c>
      <c r="AD4" s="1">
        <v>3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3</v>
      </c>
      <c r="AL4" s="1">
        <v>5</v>
      </c>
      <c r="AN4" s="5">
        <f t="shared" ref="AN4:AN12" si="15">P4*AB4</f>
        <v>1.5106184674788627</v>
      </c>
      <c r="AO4" s="5">
        <f t="shared" ref="AO4:AO12" si="16">Q4*AC4</f>
        <v>1.3272230986903061E-3</v>
      </c>
      <c r="AP4" s="5">
        <f t="shared" ref="AP4:AP12" si="17">R4*AD4</f>
        <v>0.96648718627710584</v>
      </c>
      <c r="AQ4" s="5">
        <f t="shared" ref="AQ4:AQ12" si="18">S4*AE4</f>
        <v>3.8277378765102172E-3</v>
      </c>
      <c r="AR4" s="5">
        <f t="shared" ref="AR4:AR12" si="19">T4*AF4</f>
        <v>0</v>
      </c>
      <c r="AS4" s="5">
        <f t="shared" ref="AS4:AS12" si="20">U4*AG4</f>
        <v>2.8285033743549026E-3</v>
      </c>
      <c r="AT4" s="5">
        <f t="shared" ref="AT4:AT12" si="21">V4*AH4</f>
        <v>0.32252081958735307</v>
      </c>
      <c r="AU4" s="5">
        <f t="shared" ref="AU4:AU12" si="22">W4*AI4</f>
        <v>9.1482598944803879E-3</v>
      </c>
      <c r="AV4" s="5">
        <f t="shared" ref="AV4:AV12" si="23">X4*AJ4</f>
        <v>4.6711112998428807E-4</v>
      </c>
      <c r="AW4" s="5">
        <f t="shared" ref="AW4:AW12" si="24">Y4*AK4</f>
        <v>0</v>
      </c>
      <c r="AX4" s="5">
        <f t="shared" ref="AX4:AX12" si="25">Z4*AL4</f>
        <v>7.0447836899168001E-4</v>
      </c>
      <c r="AY4" s="5">
        <f t="shared" ref="AY4:AY12" si="26">SUM(AN4:AX4)</f>
        <v>2.8179297870863333</v>
      </c>
      <c r="BA4" s="1">
        <v>8</v>
      </c>
      <c r="BB4" s="7">
        <f t="shared" ref="BB4:BB12" si="27">BA4/AY4</f>
        <v>2.838963567034718</v>
      </c>
      <c r="BD4" s="10">
        <f t="shared" ref="BD4:BD12" si="28">AN4*$BB4</f>
        <v>4.288590792862311</v>
      </c>
      <c r="BE4" s="10">
        <f t="shared" ref="BE4:BE12" si="29">AO4*$BB4</f>
        <v>3.767938022508703E-3</v>
      </c>
      <c r="BF4" s="10">
        <f t="shared" ref="BF4:BF12" si="30">AP4*$BB4</f>
        <v>2.7438219098466003</v>
      </c>
      <c r="BG4" s="10">
        <f t="shared" ref="BG4:BG12" si="31">AQ4*$BB4</f>
        <v>1.0866808375571343E-2</v>
      </c>
      <c r="BH4" s="10">
        <f t="shared" ref="BH4:BH12" si="32">AR4*$BB4</f>
        <v>0</v>
      </c>
      <c r="BI4" s="10">
        <f t="shared" ref="BI4:BI12" si="33">AS4*$BB4</f>
        <v>8.03001802902833E-3</v>
      </c>
      <c r="BJ4" s="10">
        <f t="shared" ref="BJ4:BJ12" si="34">AT4*$BB4</f>
        <v>0.91562485641867264</v>
      </c>
      <c r="BK4" s="10">
        <f t="shared" ref="BK4:BK12" si="35">AU4*$BB4</f>
        <v>2.5971576542194695E-2</v>
      </c>
      <c r="BL4" s="10">
        <f t="shared" ref="BL4:BL12" si="36">AV4*$BB4</f>
        <v>1.3261114797818122E-3</v>
      </c>
      <c r="BM4" s="10">
        <f t="shared" ref="BM4:BM12" si="37">AW4*$BB4</f>
        <v>0</v>
      </c>
      <c r="BN4" s="10">
        <f t="shared" ref="BN4:BN12" si="38">AX4*$BB4</f>
        <v>1.9999884233314201E-3</v>
      </c>
      <c r="BP4" s="1">
        <f t="shared" ref="BP4:BQ12" si="39">1/2</f>
        <v>0.5</v>
      </c>
      <c r="BQ4" s="1">
        <f t="shared" si="39"/>
        <v>0.5</v>
      </c>
      <c r="BR4" s="7">
        <f t="shared" ref="BR4:BR12" si="40">2/3</f>
        <v>0.66666666666666663</v>
      </c>
      <c r="BS4" s="1">
        <f t="shared" ref="BS4:BV12" si="41">1/1</f>
        <v>1</v>
      </c>
      <c r="BT4" s="1">
        <f t="shared" si="41"/>
        <v>1</v>
      </c>
      <c r="BU4" s="1">
        <f t="shared" si="41"/>
        <v>1</v>
      </c>
      <c r="BV4" s="1">
        <f t="shared" si="41"/>
        <v>1</v>
      </c>
      <c r="BW4" s="1">
        <f t="shared" ref="BW4:BX12" si="42">2/1</f>
        <v>2</v>
      </c>
      <c r="BX4" s="1">
        <f t="shared" si="42"/>
        <v>2</v>
      </c>
      <c r="BY4" s="7">
        <f t="shared" ref="BY4:BY12" si="43">2/3</f>
        <v>0.66666666666666663</v>
      </c>
      <c r="BZ4" s="7">
        <f t="shared" ref="BZ4:BZ12" si="44">2/5</f>
        <v>0.4</v>
      </c>
      <c r="CB4" s="10">
        <f t="shared" ref="CB4:CB12" si="45">BD4*BP4</f>
        <v>2.1442953964311555</v>
      </c>
      <c r="CC4" s="10">
        <f t="shared" ref="CC4:CC12" si="46">BE4*BQ4</f>
        <v>1.8839690112543515E-3</v>
      </c>
      <c r="CD4" s="10">
        <f t="shared" ref="CD4:CD12" si="47">BF4*BR4</f>
        <v>1.8292146065644002</v>
      </c>
      <c r="CE4" s="10">
        <f t="shared" ref="CE4:CE12" si="48">BG4*BS4</f>
        <v>1.0866808375571343E-2</v>
      </c>
      <c r="CF4" s="10">
        <f t="shared" ref="CF4:CF12" si="49">BH4*BT4</f>
        <v>0</v>
      </c>
      <c r="CG4" s="10">
        <f t="shared" ref="CG4:CG12" si="50">BI4*BU4</f>
        <v>8.03001802902833E-3</v>
      </c>
      <c r="CH4" s="10">
        <f t="shared" ref="CH4:CH12" si="51">BJ4*BV4</f>
        <v>0.91562485641867264</v>
      </c>
      <c r="CI4" s="10">
        <f t="shared" ref="CI4:CI12" si="52">BK4*BW4</f>
        <v>5.194315308438939E-2</v>
      </c>
      <c r="CJ4" s="10">
        <f t="shared" ref="CJ4:CJ12" si="53">BL4*BX4</f>
        <v>2.6522229595636244E-3</v>
      </c>
      <c r="CK4" s="10">
        <f t="shared" ref="CK4:CK12" si="54">BM4*BY4</f>
        <v>0</v>
      </c>
      <c r="CL4" s="10">
        <f t="shared" ref="CL4:CL12" si="55">BN4*BZ4</f>
        <v>7.9999536933256807E-4</v>
      </c>
      <c r="CM4" s="17">
        <f t="shared" ref="CM4:CM12" si="56">SUM(CB4:CL4)</f>
        <v>4.9653110262433673</v>
      </c>
      <c r="CO4" s="14">
        <f t="shared" ref="CO4:CO12" si="57">CH4/($CH4+$CI4+$CJ4)*100</f>
        <v>94.372888317802008</v>
      </c>
      <c r="CP4" s="14">
        <f t="shared" ref="CP4:CP12" si="58">CI4/($CH4+$CI4+CJ4)*100</f>
        <v>5.353748700183937</v>
      </c>
      <c r="CQ4" s="24"/>
      <c r="CR4" s="21">
        <f>CH4/($CH4+$CI4)*100</f>
        <v>94.631576015926044</v>
      </c>
      <c r="CS4" s="21">
        <f t="shared" ref="CS4:CS12" si="59">CI4/(CH4+CI4)*100</f>
        <v>5.36842398407396</v>
      </c>
      <c r="CU4" s="16" t="s">
        <v>39</v>
      </c>
    </row>
    <row r="5" spans="1:99" ht="15" x14ac:dyDescent="0.25">
      <c r="A5" s="3" t="s">
        <v>2</v>
      </c>
      <c r="B5" s="3" t="s">
        <v>52</v>
      </c>
      <c r="C5" s="4">
        <v>51.662999999999997</v>
      </c>
      <c r="D5" s="4">
        <v>0.20399999999999999</v>
      </c>
      <c r="E5" s="4">
        <v>29.992000000000001</v>
      </c>
      <c r="F5" s="4">
        <v>1.1850000000000001</v>
      </c>
      <c r="G5" s="4">
        <v>0</v>
      </c>
      <c r="H5" s="4">
        <v>1.7000000000000001E-2</v>
      </c>
      <c r="I5" s="4">
        <v>13.925000000000001</v>
      </c>
      <c r="J5" s="4">
        <v>2.1040000000000001</v>
      </c>
      <c r="K5" s="4">
        <v>0.72899999999999998</v>
      </c>
      <c r="L5" s="4">
        <v>0</v>
      </c>
      <c r="M5" s="4">
        <v>2.8000000000000001E-2</v>
      </c>
      <c r="N5" s="4">
        <f t="shared" si="14"/>
        <v>99.846999999999994</v>
      </c>
      <c r="P5" s="5">
        <f t="shared" si="0"/>
        <v>0.85984621529858185</v>
      </c>
      <c r="Q5" s="5">
        <f t="shared" si="1"/>
        <v>2.5542784163473816E-3</v>
      </c>
      <c r="R5" s="5">
        <f t="shared" si="2"/>
        <v>0.29415168544835774</v>
      </c>
      <c r="S5" s="5">
        <f t="shared" si="3"/>
        <v>1.6494070486053117E-2</v>
      </c>
      <c r="T5" s="5">
        <f t="shared" si="4"/>
        <v>0</v>
      </c>
      <c r="U5" s="5">
        <f t="shared" si="5"/>
        <v>4.217943628423978E-4</v>
      </c>
      <c r="V5" s="5">
        <f t="shared" si="6"/>
        <v>0.24831927528220127</v>
      </c>
      <c r="W5" s="5">
        <f t="shared" si="7"/>
        <v>3.3946982042304653E-2</v>
      </c>
      <c r="X5" s="5">
        <f t="shared" si="8"/>
        <v>7.7391821308760459E-3</v>
      </c>
      <c r="Y5" s="5">
        <f t="shared" si="9"/>
        <v>0</v>
      </c>
      <c r="Z5" s="5">
        <f t="shared" si="10"/>
        <v>1.9725394331767041E-4</v>
      </c>
      <c r="AB5" s="1">
        <v>2</v>
      </c>
      <c r="AC5" s="1">
        <v>2</v>
      </c>
      <c r="AD5" s="1">
        <v>3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3</v>
      </c>
      <c r="AL5" s="1">
        <v>5</v>
      </c>
      <c r="AN5" s="5">
        <f t="shared" si="15"/>
        <v>1.7196924305971637</v>
      </c>
      <c r="AO5" s="5">
        <f t="shared" si="16"/>
        <v>5.1085568326947632E-3</v>
      </c>
      <c r="AP5" s="5">
        <f t="shared" si="17"/>
        <v>0.88245505634507326</v>
      </c>
      <c r="AQ5" s="5">
        <f t="shared" si="18"/>
        <v>1.6494070486053117E-2</v>
      </c>
      <c r="AR5" s="5">
        <f t="shared" si="19"/>
        <v>0</v>
      </c>
      <c r="AS5" s="5">
        <f t="shared" si="20"/>
        <v>4.217943628423978E-4</v>
      </c>
      <c r="AT5" s="5">
        <f t="shared" si="21"/>
        <v>0.24831927528220127</v>
      </c>
      <c r="AU5" s="5">
        <f t="shared" si="22"/>
        <v>3.3946982042304653E-2</v>
      </c>
      <c r="AV5" s="5">
        <f t="shared" si="23"/>
        <v>7.7391821308760459E-3</v>
      </c>
      <c r="AW5" s="5">
        <f t="shared" si="24"/>
        <v>0</v>
      </c>
      <c r="AX5" s="5">
        <f t="shared" si="25"/>
        <v>9.8626971658835215E-4</v>
      </c>
      <c r="AY5" s="5">
        <f t="shared" si="26"/>
        <v>2.9151636177957978</v>
      </c>
      <c r="BA5" s="1">
        <v>8</v>
      </c>
      <c r="BB5" s="7">
        <f t="shared" si="27"/>
        <v>2.7442713510704859</v>
      </c>
      <c r="BD5" s="10">
        <f t="shared" si="28"/>
        <v>4.719302669940566</v>
      </c>
      <c r="BE5" s="10">
        <f t="shared" si="29"/>
        <v>1.4019266161279621E-2</v>
      </c>
      <c r="BF5" s="10">
        <f t="shared" si="30"/>
        <v>2.4216961297350759</v>
      </c>
      <c r="BG5" s="10">
        <f t="shared" si="31"/>
        <v>4.5264205097412816E-2</v>
      </c>
      <c r="BH5" s="10">
        <f t="shared" si="32"/>
        <v>0</v>
      </c>
      <c r="BI5" s="10">
        <f t="shared" si="33"/>
        <v>1.1575181859914219E-3</v>
      </c>
      <c r="BJ5" s="10">
        <f t="shared" si="34"/>
        <v>0.68145547307553045</v>
      </c>
      <c r="BK5" s="10">
        <f t="shared" si="35"/>
        <v>9.3159730274000915E-2</v>
      </c>
      <c r="BL5" s="10">
        <f t="shared" si="36"/>
        <v>2.123841580247977E-2</v>
      </c>
      <c r="BM5" s="10">
        <f t="shared" si="37"/>
        <v>0</v>
      </c>
      <c r="BN5" s="10">
        <f t="shared" si="38"/>
        <v>2.7065917276618222E-3</v>
      </c>
      <c r="BP5" s="1">
        <f t="shared" si="39"/>
        <v>0.5</v>
      </c>
      <c r="BQ5" s="1">
        <f t="shared" si="39"/>
        <v>0.5</v>
      </c>
      <c r="BR5" s="7">
        <f t="shared" si="40"/>
        <v>0.66666666666666663</v>
      </c>
      <c r="BS5" s="1">
        <f t="shared" si="41"/>
        <v>1</v>
      </c>
      <c r="BT5" s="1">
        <f t="shared" si="41"/>
        <v>1</v>
      </c>
      <c r="BU5" s="1">
        <f t="shared" si="41"/>
        <v>1</v>
      </c>
      <c r="BV5" s="1">
        <f t="shared" si="41"/>
        <v>1</v>
      </c>
      <c r="BW5" s="1">
        <f t="shared" si="42"/>
        <v>2</v>
      </c>
      <c r="BX5" s="1">
        <f t="shared" si="42"/>
        <v>2</v>
      </c>
      <c r="BY5" s="7">
        <f t="shared" si="43"/>
        <v>0.66666666666666663</v>
      </c>
      <c r="BZ5" s="7">
        <f t="shared" si="44"/>
        <v>0.4</v>
      </c>
      <c r="CB5" s="10">
        <f t="shared" si="45"/>
        <v>2.359651334970283</v>
      </c>
      <c r="CC5" s="10">
        <f t="shared" si="46"/>
        <v>7.0096330806398103E-3</v>
      </c>
      <c r="CD5" s="10">
        <f t="shared" si="47"/>
        <v>1.6144640864900506</v>
      </c>
      <c r="CE5" s="10">
        <f t="shared" si="48"/>
        <v>4.5264205097412816E-2</v>
      </c>
      <c r="CF5" s="10">
        <f t="shared" si="49"/>
        <v>0</v>
      </c>
      <c r="CG5" s="10">
        <f t="shared" si="50"/>
        <v>1.1575181859914219E-3</v>
      </c>
      <c r="CH5" s="10">
        <f t="shared" si="51"/>
        <v>0.68145547307553045</v>
      </c>
      <c r="CI5" s="10">
        <f t="shared" si="52"/>
        <v>0.18631946054800183</v>
      </c>
      <c r="CJ5" s="10">
        <f t="shared" si="53"/>
        <v>4.247683160495954E-2</v>
      </c>
      <c r="CK5" s="10">
        <f t="shared" si="54"/>
        <v>0</v>
      </c>
      <c r="CL5" s="10">
        <f t="shared" si="55"/>
        <v>1.082636691064729E-3</v>
      </c>
      <c r="CM5" s="17">
        <f t="shared" si="56"/>
        <v>4.9388811797439338</v>
      </c>
      <c r="CO5" s="14">
        <f t="shared" si="57"/>
        <v>74.864504426912177</v>
      </c>
      <c r="CP5" s="14">
        <f t="shared" si="58"/>
        <v>20.469002935823127</v>
      </c>
      <c r="CQ5" s="24"/>
      <c r="CR5" s="21">
        <f>CH5/($CH5+$CI5)*100</f>
        <v>78.529057094332586</v>
      </c>
      <c r="CS5" s="21">
        <f t="shared" si="59"/>
        <v>21.470942905667403</v>
      </c>
      <c r="CU5" s="16" t="s">
        <v>38</v>
      </c>
    </row>
    <row r="6" spans="1:99" ht="15" x14ac:dyDescent="0.25">
      <c r="A6" s="3" t="s">
        <v>3</v>
      </c>
      <c r="B6" s="3" t="s">
        <v>52</v>
      </c>
      <c r="C6" s="4">
        <v>49.96</v>
      </c>
      <c r="D6" s="4">
        <v>6.4000000000000001E-2</v>
      </c>
      <c r="E6" s="4">
        <v>31.048999999999999</v>
      </c>
      <c r="F6" s="4">
        <v>1.19</v>
      </c>
      <c r="G6" s="4">
        <v>0</v>
      </c>
      <c r="H6" s="4">
        <v>4.9000000000000002E-2</v>
      </c>
      <c r="I6" s="4">
        <v>15.276</v>
      </c>
      <c r="J6" s="4">
        <v>1.24</v>
      </c>
      <c r="K6" s="4">
        <v>0.27300000000000002</v>
      </c>
      <c r="L6" s="4">
        <v>8.9999999999999993E-3</v>
      </c>
      <c r="M6" s="4">
        <v>0</v>
      </c>
      <c r="N6" s="4">
        <f t="shared" si="14"/>
        <v>99.11</v>
      </c>
      <c r="P6" s="5">
        <f t="shared" si="0"/>
        <v>0.8315025630783569</v>
      </c>
      <c r="Q6" s="5">
        <f t="shared" si="1"/>
        <v>8.013422482658453E-4</v>
      </c>
      <c r="R6" s="5">
        <f t="shared" si="2"/>
        <v>0.30451839428801208</v>
      </c>
      <c r="S6" s="5">
        <f t="shared" si="3"/>
        <v>1.6563665720171483E-2</v>
      </c>
      <c r="T6" s="5">
        <f t="shared" si="4"/>
        <v>0</v>
      </c>
      <c r="U6" s="5">
        <f t="shared" si="5"/>
        <v>1.2157602223104406E-3</v>
      </c>
      <c r="V6" s="5">
        <f t="shared" si="6"/>
        <v>0.27241114895589991</v>
      </c>
      <c r="W6" s="5">
        <f t="shared" si="7"/>
        <v>2.0006776488810725E-2</v>
      </c>
      <c r="X6" s="5">
        <f t="shared" si="8"/>
        <v>2.898212238311606E-3</v>
      </c>
      <c r="Y6" s="5">
        <f t="shared" si="9"/>
        <v>5.9214344082710586E-5</v>
      </c>
      <c r="Z6" s="5">
        <f t="shared" si="10"/>
        <v>0</v>
      </c>
      <c r="AB6" s="1">
        <v>2</v>
      </c>
      <c r="AC6" s="1">
        <v>2</v>
      </c>
      <c r="AD6" s="1">
        <v>3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3</v>
      </c>
      <c r="AL6" s="1">
        <v>5</v>
      </c>
      <c r="AN6" s="5">
        <f t="shared" si="15"/>
        <v>1.6630051261567138</v>
      </c>
      <c r="AO6" s="5">
        <f t="shared" si="16"/>
        <v>1.6026844965316906E-3</v>
      </c>
      <c r="AP6" s="5">
        <f t="shared" si="17"/>
        <v>0.91355518286403625</v>
      </c>
      <c r="AQ6" s="5">
        <f t="shared" si="18"/>
        <v>1.6563665720171483E-2</v>
      </c>
      <c r="AR6" s="5">
        <f t="shared" si="19"/>
        <v>0</v>
      </c>
      <c r="AS6" s="5">
        <f t="shared" si="20"/>
        <v>1.2157602223104406E-3</v>
      </c>
      <c r="AT6" s="5">
        <f t="shared" si="21"/>
        <v>0.27241114895589991</v>
      </c>
      <c r="AU6" s="5">
        <f t="shared" si="22"/>
        <v>2.0006776488810725E-2</v>
      </c>
      <c r="AV6" s="5">
        <f t="shared" si="23"/>
        <v>2.898212238311606E-3</v>
      </c>
      <c r="AW6" s="5">
        <f t="shared" si="24"/>
        <v>1.7764303224813174E-4</v>
      </c>
      <c r="AX6" s="5">
        <f t="shared" si="25"/>
        <v>0</v>
      </c>
      <c r="AY6" s="5">
        <f t="shared" si="26"/>
        <v>2.891436200175034</v>
      </c>
      <c r="BA6" s="1">
        <v>8</v>
      </c>
      <c r="BB6" s="7">
        <f t="shared" si="27"/>
        <v>2.7667911190693806</v>
      </c>
      <c r="BD6" s="10">
        <f t="shared" si="28"/>
        <v>4.6011878140172504</v>
      </c>
      <c r="BE6" s="10">
        <f t="shared" si="29"/>
        <v>4.4342932316740634E-3</v>
      </c>
      <c r="BF6" s="10">
        <f t="shared" si="30"/>
        <v>2.5276163667280196</v>
      </c>
      <c r="BG6" s="10">
        <f t="shared" si="31"/>
        <v>4.5828203213804396E-2</v>
      </c>
      <c r="BH6" s="10">
        <f t="shared" si="32"/>
        <v>0</v>
      </c>
      <c r="BI6" s="10">
        <f t="shared" si="33"/>
        <v>3.3637545860063429E-3</v>
      </c>
      <c r="BJ6" s="10">
        <f t="shared" si="34"/>
        <v>0.75370474766667006</v>
      </c>
      <c r="BK6" s="10">
        <f t="shared" si="35"/>
        <v>5.5354571510447599E-2</v>
      </c>
      <c r="BL6" s="10">
        <f t="shared" si="36"/>
        <v>8.0187478821387419E-3</v>
      </c>
      <c r="BM6" s="10">
        <f t="shared" si="37"/>
        <v>4.9150116398868644E-4</v>
      </c>
      <c r="BN6" s="10">
        <f t="shared" si="38"/>
        <v>0</v>
      </c>
      <c r="BP6" s="1">
        <f t="shared" si="39"/>
        <v>0.5</v>
      </c>
      <c r="BQ6" s="1">
        <f t="shared" si="39"/>
        <v>0.5</v>
      </c>
      <c r="BR6" s="7">
        <f t="shared" si="40"/>
        <v>0.66666666666666663</v>
      </c>
      <c r="BS6" s="1">
        <f t="shared" si="41"/>
        <v>1</v>
      </c>
      <c r="BT6" s="1">
        <f t="shared" si="41"/>
        <v>1</v>
      </c>
      <c r="BU6" s="1">
        <f t="shared" si="41"/>
        <v>1</v>
      </c>
      <c r="BV6" s="1">
        <f t="shared" si="41"/>
        <v>1</v>
      </c>
      <c r="BW6" s="1">
        <f t="shared" si="42"/>
        <v>2</v>
      </c>
      <c r="BX6" s="1">
        <f t="shared" si="42"/>
        <v>2</v>
      </c>
      <c r="BY6" s="7">
        <f t="shared" si="43"/>
        <v>0.66666666666666663</v>
      </c>
      <c r="BZ6" s="7">
        <f t="shared" si="44"/>
        <v>0.4</v>
      </c>
      <c r="CB6" s="10">
        <f t="shared" si="45"/>
        <v>2.3005939070086252</v>
      </c>
      <c r="CC6" s="10">
        <f t="shared" si="46"/>
        <v>2.2171466158370317E-3</v>
      </c>
      <c r="CD6" s="10">
        <f t="shared" si="47"/>
        <v>1.6850775778186797</v>
      </c>
      <c r="CE6" s="10">
        <f t="shared" si="48"/>
        <v>4.5828203213804396E-2</v>
      </c>
      <c r="CF6" s="10">
        <f t="shared" si="49"/>
        <v>0</v>
      </c>
      <c r="CG6" s="10">
        <f t="shared" si="50"/>
        <v>3.3637545860063429E-3</v>
      </c>
      <c r="CH6" s="10">
        <f t="shared" si="51"/>
        <v>0.75370474766667006</v>
      </c>
      <c r="CI6" s="10">
        <f t="shared" si="52"/>
        <v>0.1107091430208952</v>
      </c>
      <c r="CJ6" s="10">
        <f t="shared" si="53"/>
        <v>1.6037495764277484E-2</v>
      </c>
      <c r="CK6" s="10">
        <f t="shared" si="54"/>
        <v>3.2766744265912427E-4</v>
      </c>
      <c r="CL6" s="10">
        <f t="shared" si="55"/>
        <v>0</v>
      </c>
      <c r="CM6" s="17">
        <f t="shared" si="56"/>
        <v>4.9178596431374544</v>
      </c>
      <c r="CO6" s="14">
        <f t="shared" si="57"/>
        <v>85.604356954226319</v>
      </c>
      <c r="CP6" s="14">
        <f t="shared" si="58"/>
        <v>12.574134668246167</v>
      </c>
      <c r="CQ6" s="24"/>
      <c r="CR6" s="21">
        <f>CH6/($CH6+$CI6)*100</f>
        <v>87.192577049770009</v>
      </c>
      <c r="CS6" s="21">
        <f t="shared" si="59"/>
        <v>12.807422950229988</v>
      </c>
      <c r="CU6" s="16" t="s">
        <v>38</v>
      </c>
    </row>
    <row r="7" spans="1:99" ht="15" x14ac:dyDescent="0.25">
      <c r="A7" s="3" t="s">
        <v>4</v>
      </c>
      <c r="B7" s="3" t="s">
        <v>52</v>
      </c>
      <c r="C7" s="4">
        <v>50.307000000000002</v>
      </c>
      <c r="D7" s="4">
        <v>5.6000000000000001E-2</v>
      </c>
      <c r="E7" s="4">
        <v>31.013999999999999</v>
      </c>
      <c r="F7" s="4">
        <v>3.1379999999999999</v>
      </c>
      <c r="G7" s="4">
        <v>8.0000000000000002E-3</v>
      </c>
      <c r="H7" s="4">
        <v>6.2E-2</v>
      </c>
      <c r="I7" s="4">
        <v>15.436999999999999</v>
      </c>
      <c r="J7" s="4">
        <v>1.9350000000000001</v>
      </c>
      <c r="K7" s="4">
        <v>0.25800000000000001</v>
      </c>
      <c r="L7" s="4">
        <v>1.2E-2</v>
      </c>
      <c r="M7" s="4">
        <v>4.2999999999999997E-2</v>
      </c>
      <c r="N7" s="18">
        <f t="shared" si="14"/>
        <v>102.27</v>
      </c>
      <c r="P7" s="5">
        <f t="shared" si="0"/>
        <v>0.83727781106450971</v>
      </c>
      <c r="Q7" s="5">
        <f t="shared" si="1"/>
        <v>7.0117446723261462E-4</v>
      </c>
      <c r="R7" s="5">
        <f t="shared" si="2"/>
        <v>0.30417512578338779</v>
      </c>
      <c r="S7" s="5">
        <f t="shared" si="3"/>
        <v>4.3677968932687494E-2</v>
      </c>
      <c r="T7" s="5">
        <f t="shared" si="4"/>
        <v>1.127761252942752E-4</v>
      </c>
      <c r="U7" s="5">
        <f t="shared" si="5"/>
        <v>1.538308852719333E-3</v>
      </c>
      <c r="V7" s="5">
        <f t="shared" si="6"/>
        <v>0.27528220125898317</v>
      </c>
      <c r="W7" s="5">
        <f t="shared" si="7"/>
        <v>3.122025202084577E-2</v>
      </c>
      <c r="X7" s="5">
        <f t="shared" si="8"/>
        <v>2.738969807635144E-3</v>
      </c>
      <c r="Y7" s="5">
        <f t="shared" si="9"/>
        <v>7.8952458776947461E-5</v>
      </c>
      <c r="Z7" s="5">
        <f t="shared" si="10"/>
        <v>3.0292569866642241E-4</v>
      </c>
      <c r="AB7" s="1">
        <v>2</v>
      </c>
      <c r="AC7" s="1">
        <v>2</v>
      </c>
      <c r="AD7" s="1">
        <v>3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3</v>
      </c>
      <c r="AL7" s="1">
        <v>5</v>
      </c>
      <c r="AN7" s="5">
        <f t="shared" si="15"/>
        <v>1.6745556221290194</v>
      </c>
      <c r="AO7" s="5">
        <f t="shared" si="16"/>
        <v>1.4023489344652292E-3</v>
      </c>
      <c r="AP7" s="5">
        <f t="shared" si="17"/>
        <v>0.91252537735016337</v>
      </c>
      <c r="AQ7" s="5">
        <f t="shared" si="18"/>
        <v>4.3677968932687494E-2</v>
      </c>
      <c r="AR7" s="5">
        <f t="shared" si="19"/>
        <v>1.127761252942752E-4</v>
      </c>
      <c r="AS7" s="5">
        <f t="shared" si="20"/>
        <v>1.538308852719333E-3</v>
      </c>
      <c r="AT7" s="5">
        <f t="shared" si="21"/>
        <v>0.27528220125898317</v>
      </c>
      <c r="AU7" s="5">
        <f t="shared" si="22"/>
        <v>3.122025202084577E-2</v>
      </c>
      <c r="AV7" s="5">
        <f t="shared" si="23"/>
        <v>2.738969807635144E-3</v>
      </c>
      <c r="AW7" s="5">
        <f t="shared" si="24"/>
        <v>2.368573763308424E-4</v>
      </c>
      <c r="AX7" s="5">
        <f t="shared" si="25"/>
        <v>1.514628493332112E-3</v>
      </c>
      <c r="AY7" s="5">
        <f t="shared" si="26"/>
        <v>2.9448053112814767</v>
      </c>
      <c r="BA7" s="1">
        <v>8</v>
      </c>
      <c r="BB7" s="7">
        <f t="shared" si="27"/>
        <v>2.7166481836175032</v>
      </c>
      <c r="BD7" s="10">
        <f t="shared" si="28"/>
        <v>4.5491784892232783</v>
      </c>
      <c r="BE7" s="10">
        <f t="shared" si="29"/>
        <v>3.8096886856129062E-3</v>
      </c>
      <c r="BF7" s="10">
        <f t="shared" si="30"/>
        <v>2.4790104088831981</v>
      </c>
      <c r="BG7" s="10">
        <f t="shared" si="31"/>
        <v>0.11865767496508721</v>
      </c>
      <c r="BH7" s="10">
        <f t="shared" si="32"/>
        <v>3.063730559361127E-4</v>
      </c>
      <c r="BI7" s="10">
        <f t="shared" si="33"/>
        <v>4.1790439505827014E-3</v>
      </c>
      <c r="BJ7" s="10">
        <f t="shared" si="34"/>
        <v>0.74784489203244453</v>
      </c>
      <c r="BK7" s="10">
        <f t="shared" si="35"/>
        <v>8.4814440944511349E-2</v>
      </c>
      <c r="BL7" s="10">
        <f t="shared" si="36"/>
        <v>7.4408173528951963E-3</v>
      </c>
      <c r="BM7" s="10">
        <f t="shared" si="37"/>
        <v>6.4345816118559034E-4</v>
      </c>
      <c r="BN7" s="10">
        <f t="shared" si="38"/>
        <v>4.1147127452659978E-3</v>
      </c>
      <c r="BP7" s="1">
        <f t="shared" si="39"/>
        <v>0.5</v>
      </c>
      <c r="BQ7" s="1">
        <f t="shared" si="39"/>
        <v>0.5</v>
      </c>
      <c r="BR7" s="7">
        <f t="shared" si="40"/>
        <v>0.66666666666666663</v>
      </c>
      <c r="BS7" s="1">
        <f t="shared" si="41"/>
        <v>1</v>
      </c>
      <c r="BT7" s="1">
        <f t="shared" si="41"/>
        <v>1</v>
      </c>
      <c r="BU7" s="1">
        <f t="shared" si="41"/>
        <v>1</v>
      </c>
      <c r="BV7" s="1">
        <f t="shared" si="41"/>
        <v>1</v>
      </c>
      <c r="BW7" s="1">
        <f t="shared" si="42"/>
        <v>2</v>
      </c>
      <c r="BX7" s="1">
        <f t="shared" si="42"/>
        <v>2</v>
      </c>
      <c r="BY7" s="7">
        <f t="shared" si="43"/>
        <v>0.66666666666666663</v>
      </c>
      <c r="BZ7" s="7">
        <f t="shared" si="44"/>
        <v>0.4</v>
      </c>
      <c r="CB7" s="10">
        <f t="shared" si="45"/>
        <v>2.2745892446116391</v>
      </c>
      <c r="CC7" s="10">
        <f t="shared" si="46"/>
        <v>1.9048443428064531E-3</v>
      </c>
      <c r="CD7" s="10">
        <f t="shared" si="47"/>
        <v>1.6526736059221321</v>
      </c>
      <c r="CE7" s="10">
        <f t="shared" si="48"/>
        <v>0.11865767496508721</v>
      </c>
      <c r="CF7" s="10">
        <f t="shared" si="49"/>
        <v>3.063730559361127E-4</v>
      </c>
      <c r="CG7" s="10">
        <f t="shared" si="50"/>
        <v>4.1790439505827014E-3</v>
      </c>
      <c r="CH7" s="10">
        <f t="shared" si="51"/>
        <v>0.74784489203244453</v>
      </c>
      <c r="CI7" s="10">
        <f t="shared" si="52"/>
        <v>0.1696288818890227</v>
      </c>
      <c r="CJ7" s="10">
        <f t="shared" si="53"/>
        <v>1.4881634705790393E-2</v>
      </c>
      <c r="CK7" s="10">
        <f t="shared" si="54"/>
        <v>4.2897210745706019E-4</v>
      </c>
      <c r="CL7" s="10">
        <f t="shared" si="55"/>
        <v>1.6458850981063992E-3</v>
      </c>
      <c r="CM7" s="17">
        <f t="shared" si="56"/>
        <v>4.9867410526810048</v>
      </c>
      <c r="CO7" s="14">
        <f t="shared" si="57"/>
        <v>80.210280877066509</v>
      </c>
      <c r="CP7" s="14">
        <f t="shared" si="58"/>
        <v>18.193585870732896</v>
      </c>
      <c r="CQ7" s="24"/>
      <c r="CR7" s="21">
        <f>CH7/($CH7+$CI7)*100</f>
        <v>81.511310000285377</v>
      </c>
      <c r="CS7" s="21">
        <f t="shared" si="59"/>
        <v>18.488689999714627</v>
      </c>
      <c r="CU7" s="16" t="s">
        <v>38</v>
      </c>
    </row>
    <row r="8" spans="1:99" ht="15" x14ac:dyDescent="0.25">
      <c r="A8" s="3" t="s">
        <v>5</v>
      </c>
      <c r="B8" s="3" t="s">
        <v>52</v>
      </c>
      <c r="C8" s="4">
        <v>49.890999999999998</v>
      </c>
      <c r="D8" s="4">
        <v>4.2000000000000003E-2</v>
      </c>
      <c r="E8" s="4">
        <v>31.225999999999999</v>
      </c>
      <c r="F8" s="4">
        <v>0.93200000000000005</v>
      </c>
      <c r="G8" s="4">
        <v>2.8000000000000001E-2</v>
      </c>
      <c r="H8" s="4">
        <v>7.2999999999999995E-2</v>
      </c>
      <c r="I8" s="4">
        <v>15.273999999999999</v>
      </c>
      <c r="J8" s="4">
        <v>1.3660000000000001</v>
      </c>
      <c r="K8" s="4">
        <v>0.21</v>
      </c>
      <c r="L8" s="4">
        <v>1.7999999999999999E-2</v>
      </c>
      <c r="M8" s="4">
        <v>4.4999999999999998E-2</v>
      </c>
      <c r="N8" s="4">
        <f t="shared" si="14"/>
        <v>99.10499999999999</v>
      </c>
      <c r="P8" s="5">
        <f t="shared" si="0"/>
        <v>0.83035417082750806</v>
      </c>
      <c r="Q8" s="5">
        <f t="shared" si="1"/>
        <v>5.2588085042446105E-4</v>
      </c>
      <c r="R8" s="5">
        <f t="shared" si="2"/>
        <v>0.30625435215425506</v>
      </c>
      <c r="S8" s="5">
        <f t="shared" si="3"/>
        <v>1.2972551639663718E-2</v>
      </c>
      <c r="T8" s="5">
        <f t="shared" si="4"/>
        <v>3.9471643852996324E-4</v>
      </c>
      <c r="U8" s="5">
        <f t="shared" si="5"/>
        <v>1.8112346169114725E-3</v>
      </c>
      <c r="V8" s="5">
        <f t="shared" si="6"/>
        <v>0.27237548370989889</v>
      </c>
      <c r="W8" s="5">
        <f t="shared" si="7"/>
        <v>2.2039723132028594E-2</v>
      </c>
      <c r="X8" s="5">
        <f t="shared" si="8"/>
        <v>2.229394029470466E-3</v>
      </c>
      <c r="Y8" s="5">
        <f t="shared" si="9"/>
        <v>1.1842868816542117E-4</v>
      </c>
      <c r="Z8" s="5">
        <f t="shared" si="10"/>
        <v>3.1701526604625602E-4</v>
      </c>
      <c r="AB8" s="1">
        <v>2</v>
      </c>
      <c r="AC8" s="1">
        <v>2</v>
      </c>
      <c r="AD8" s="1">
        <v>3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3</v>
      </c>
      <c r="AL8" s="1">
        <v>5</v>
      </c>
      <c r="AN8" s="5">
        <f t="shared" si="15"/>
        <v>1.6607083416550161</v>
      </c>
      <c r="AO8" s="5">
        <f t="shared" si="16"/>
        <v>1.0517617008489221E-3</v>
      </c>
      <c r="AP8" s="5">
        <f t="shared" si="17"/>
        <v>0.91876305646276513</v>
      </c>
      <c r="AQ8" s="5">
        <f t="shared" si="18"/>
        <v>1.2972551639663718E-2</v>
      </c>
      <c r="AR8" s="5">
        <f t="shared" si="19"/>
        <v>3.9471643852996324E-4</v>
      </c>
      <c r="AS8" s="5">
        <f t="shared" si="20"/>
        <v>1.8112346169114725E-3</v>
      </c>
      <c r="AT8" s="5">
        <f t="shared" si="21"/>
        <v>0.27237548370989889</v>
      </c>
      <c r="AU8" s="5">
        <f t="shared" si="22"/>
        <v>2.2039723132028594E-2</v>
      </c>
      <c r="AV8" s="5">
        <f t="shared" si="23"/>
        <v>2.229394029470466E-3</v>
      </c>
      <c r="AW8" s="5">
        <f t="shared" si="24"/>
        <v>3.5528606449626349E-4</v>
      </c>
      <c r="AX8" s="5">
        <f t="shared" si="25"/>
        <v>1.5850763302312802E-3</v>
      </c>
      <c r="AY8" s="5">
        <f t="shared" si="26"/>
        <v>2.8942866257798614</v>
      </c>
      <c r="BA8" s="1">
        <v>8</v>
      </c>
      <c r="BB8" s="7">
        <f t="shared" si="27"/>
        <v>2.7640662568602417</v>
      </c>
      <c r="BD8" s="10">
        <f t="shared" si="28"/>
        <v>4.5903078896549596</v>
      </c>
      <c r="BE8" s="10">
        <f t="shared" si="29"/>
        <v>2.9071390275744414E-3</v>
      </c>
      <c r="BF8" s="10">
        <f t="shared" si="30"/>
        <v>2.5395219624185099</v>
      </c>
      <c r="BG8" s="10">
        <f t="shared" si="31"/>
        <v>3.5856992252571482E-2</v>
      </c>
      <c r="BH8" s="10">
        <f t="shared" si="32"/>
        <v>1.0910223887687211E-3</v>
      </c>
      <c r="BI8" s="10">
        <f t="shared" si="33"/>
        <v>5.0063724878621875E-3</v>
      </c>
      <c r="BJ8" s="10">
        <f t="shared" si="34"/>
        <v>0.75286388371851798</v>
      </c>
      <c r="BK8" s="10">
        <f t="shared" si="35"/>
        <v>6.0919255019782355E-2</v>
      </c>
      <c r="BL8" s="10">
        <f t="shared" si="36"/>
        <v>6.1621928101050025E-3</v>
      </c>
      <c r="BM8" s="10">
        <f t="shared" si="37"/>
        <v>9.820342224067934E-4</v>
      </c>
      <c r="BN8" s="10">
        <f t="shared" si="38"/>
        <v>4.381255998940143E-3</v>
      </c>
      <c r="BP8" s="1">
        <f t="shared" si="39"/>
        <v>0.5</v>
      </c>
      <c r="BQ8" s="1">
        <f t="shared" si="39"/>
        <v>0.5</v>
      </c>
      <c r="BR8" s="7">
        <f t="shared" si="40"/>
        <v>0.66666666666666663</v>
      </c>
      <c r="BS8" s="1">
        <f t="shared" si="41"/>
        <v>1</v>
      </c>
      <c r="BT8" s="1">
        <f t="shared" si="41"/>
        <v>1</v>
      </c>
      <c r="BU8" s="1">
        <f t="shared" si="41"/>
        <v>1</v>
      </c>
      <c r="BV8" s="1">
        <f t="shared" si="41"/>
        <v>1</v>
      </c>
      <c r="BW8" s="1">
        <f t="shared" si="42"/>
        <v>2</v>
      </c>
      <c r="BX8" s="1">
        <f t="shared" si="42"/>
        <v>2</v>
      </c>
      <c r="BY8" s="7">
        <f t="shared" si="43"/>
        <v>0.66666666666666663</v>
      </c>
      <c r="BZ8" s="7">
        <f t="shared" si="44"/>
        <v>0.4</v>
      </c>
      <c r="CB8" s="10">
        <f t="shared" si="45"/>
        <v>2.2951539448274798</v>
      </c>
      <c r="CC8" s="10">
        <f t="shared" si="46"/>
        <v>1.4535695137872207E-3</v>
      </c>
      <c r="CD8" s="10">
        <f t="shared" si="47"/>
        <v>1.6930146416123399</v>
      </c>
      <c r="CE8" s="10">
        <f t="shared" si="48"/>
        <v>3.5856992252571482E-2</v>
      </c>
      <c r="CF8" s="10">
        <f t="shared" si="49"/>
        <v>1.0910223887687211E-3</v>
      </c>
      <c r="CG8" s="10">
        <f t="shared" si="50"/>
        <v>5.0063724878621875E-3</v>
      </c>
      <c r="CH8" s="10">
        <f t="shared" si="51"/>
        <v>0.75286388371851798</v>
      </c>
      <c r="CI8" s="10">
        <f t="shared" si="52"/>
        <v>0.12183851003956471</v>
      </c>
      <c r="CJ8" s="10">
        <f t="shared" si="53"/>
        <v>1.2324385620210005E-2</v>
      </c>
      <c r="CK8" s="10">
        <f t="shared" si="54"/>
        <v>6.546894816045289E-4</v>
      </c>
      <c r="CL8" s="10">
        <f t="shared" si="55"/>
        <v>1.7525023995760573E-3</v>
      </c>
      <c r="CM8" s="17">
        <f t="shared" si="56"/>
        <v>4.9210105143422833</v>
      </c>
      <c r="CO8" s="14">
        <f t="shared" si="57"/>
        <v>84.874989258632311</v>
      </c>
      <c r="CP8" s="14">
        <f t="shared" si="58"/>
        <v>13.73560673387561</v>
      </c>
      <c r="CQ8" s="24"/>
      <c r="CR8" s="21">
        <f>CH8/($CH8+$CI8)*100</f>
        <v>86.070861254180855</v>
      </c>
      <c r="CS8" s="21">
        <f t="shared" si="59"/>
        <v>13.929138745819152</v>
      </c>
      <c r="CU8" s="16" t="s">
        <v>38</v>
      </c>
    </row>
    <row r="9" spans="1:99" ht="15" x14ac:dyDescent="0.25">
      <c r="A9" s="3" t="s">
        <v>6</v>
      </c>
      <c r="B9" s="3" t="s">
        <v>52</v>
      </c>
      <c r="C9" s="4">
        <v>49.415999999999997</v>
      </c>
      <c r="D9" s="4">
        <v>8.3000000000000004E-2</v>
      </c>
      <c r="E9" s="4">
        <v>31.483000000000001</v>
      </c>
      <c r="F9" s="4">
        <v>0.83599999999999997</v>
      </c>
      <c r="G9" s="4">
        <v>0.02</v>
      </c>
      <c r="H9" s="4">
        <v>0.11700000000000001</v>
      </c>
      <c r="I9" s="4">
        <v>15.641</v>
      </c>
      <c r="J9" s="4">
        <v>1.1990000000000001</v>
      </c>
      <c r="K9" s="4">
        <v>0.192</v>
      </c>
      <c r="L9" s="4">
        <v>0</v>
      </c>
      <c r="M9" s="4">
        <v>8.0000000000000002E-3</v>
      </c>
      <c r="N9" s="4">
        <f t="shared" si="14"/>
        <v>98.99499999999999</v>
      </c>
      <c r="P9" s="5">
        <f t="shared" si="0"/>
        <v>0.82244857199920107</v>
      </c>
      <c r="Q9" s="5">
        <f t="shared" si="1"/>
        <v>1.0392407282197682E-3</v>
      </c>
      <c r="R9" s="5">
        <f t="shared" si="2"/>
        <v>0.30877492374535365</v>
      </c>
      <c r="S9" s="5">
        <f t="shared" si="3"/>
        <v>1.1636323144591058E-2</v>
      </c>
      <c r="T9" s="5">
        <f t="shared" si="4"/>
        <v>2.8194031323568804E-4</v>
      </c>
      <c r="U9" s="5">
        <f t="shared" si="5"/>
        <v>2.9029376736800319E-3</v>
      </c>
      <c r="V9" s="5">
        <f t="shared" si="6"/>
        <v>0.27892005635108869</v>
      </c>
      <c r="W9" s="5">
        <f t="shared" si="7"/>
        <v>1.9345262104906502E-2</v>
      </c>
      <c r="X9" s="5">
        <f t="shared" si="8"/>
        <v>2.0383031126587118E-3</v>
      </c>
      <c r="Y9" s="5">
        <f t="shared" si="9"/>
        <v>0</v>
      </c>
      <c r="Z9" s="5">
        <f t="shared" si="10"/>
        <v>5.6358269519334407E-5</v>
      </c>
      <c r="AB9" s="1">
        <v>2</v>
      </c>
      <c r="AC9" s="1">
        <v>2</v>
      </c>
      <c r="AD9" s="1">
        <v>3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3</v>
      </c>
      <c r="AL9" s="1">
        <v>5</v>
      </c>
      <c r="AN9" s="5">
        <f t="shared" si="15"/>
        <v>1.6448971439984021</v>
      </c>
      <c r="AO9" s="5">
        <f t="shared" si="16"/>
        <v>2.0784814564395364E-3</v>
      </c>
      <c r="AP9" s="5">
        <f t="shared" si="17"/>
        <v>0.92632477123606094</v>
      </c>
      <c r="AQ9" s="5">
        <f t="shared" si="18"/>
        <v>1.1636323144591058E-2</v>
      </c>
      <c r="AR9" s="5">
        <f t="shared" si="19"/>
        <v>2.8194031323568804E-4</v>
      </c>
      <c r="AS9" s="5">
        <f t="shared" si="20"/>
        <v>2.9029376736800319E-3</v>
      </c>
      <c r="AT9" s="5">
        <f t="shared" si="21"/>
        <v>0.27892005635108869</v>
      </c>
      <c r="AU9" s="5">
        <f t="shared" si="22"/>
        <v>1.9345262104906502E-2</v>
      </c>
      <c r="AV9" s="5">
        <f t="shared" si="23"/>
        <v>2.0383031126587118E-3</v>
      </c>
      <c r="AW9" s="5">
        <f t="shared" si="24"/>
        <v>0</v>
      </c>
      <c r="AX9" s="5">
        <f t="shared" si="25"/>
        <v>2.8179134759667203E-4</v>
      </c>
      <c r="AY9" s="5">
        <f t="shared" si="26"/>
        <v>2.8887070107386599</v>
      </c>
      <c r="BA9" s="1">
        <v>8</v>
      </c>
      <c r="BB9" s="7">
        <f t="shared" si="27"/>
        <v>2.7694051249435474</v>
      </c>
      <c r="BD9" s="10">
        <f t="shared" si="28"/>
        <v>4.5553865805941793</v>
      </c>
      <c r="BE9" s="10">
        <f t="shared" si="29"/>
        <v>5.7561571975637809E-3</v>
      </c>
      <c r="BF9" s="10">
        <f t="shared" si="30"/>
        <v>2.5653685688233061</v>
      </c>
      <c r="BG9" s="10">
        <f t="shared" si="31"/>
        <v>3.2225692952129695E-2</v>
      </c>
      <c r="BH9" s="10">
        <f t="shared" si="32"/>
        <v>7.8080694840310355E-4</v>
      </c>
      <c r="BI9" s="10">
        <f t="shared" si="33"/>
        <v>8.0394104708811798E-3</v>
      </c>
      <c r="BJ9" s="10">
        <f t="shared" si="34"/>
        <v>0.77244263350824804</v>
      </c>
      <c r="BK9" s="10">
        <f t="shared" si="35"/>
        <v>5.3574868016704268E-2</v>
      </c>
      <c r="BL9" s="10">
        <f t="shared" si="36"/>
        <v>5.6448870863854209E-3</v>
      </c>
      <c r="BM9" s="10">
        <f t="shared" si="37"/>
        <v>0</v>
      </c>
      <c r="BN9" s="10">
        <f t="shared" si="38"/>
        <v>7.8039440219897205E-4</v>
      </c>
      <c r="BP9" s="1">
        <f t="shared" si="39"/>
        <v>0.5</v>
      </c>
      <c r="BQ9" s="1">
        <f t="shared" si="39"/>
        <v>0.5</v>
      </c>
      <c r="BR9" s="7">
        <f t="shared" si="40"/>
        <v>0.66666666666666663</v>
      </c>
      <c r="BS9" s="1">
        <f t="shared" si="41"/>
        <v>1</v>
      </c>
      <c r="BT9" s="1">
        <f t="shared" si="41"/>
        <v>1</v>
      </c>
      <c r="BU9" s="1">
        <f t="shared" si="41"/>
        <v>1</v>
      </c>
      <c r="BV9" s="1">
        <f t="shared" si="41"/>
        <v>1</v>
      </c>
      <c r="BW9" s="1">
        <f t="shared" si="42"/>
        <v>2</v>
      </c>
      <c r="BX9" s="1">
        <f t="shared" si="42"/>
        <v>2</v>
      </c>
      <c r="BY9" s="7">
        <f t="shared" si="43"/>
        <v>0.66666666666666663</v>
      </c>
      <c r="BZ9" s="7">
        <f t="shared" si="44"/>
        <v>0.4</v>
      </c>
      <c r="CB9" s="10">
        <f t="shared" si="45"/>
        <v>2.2776932902970897</v>
      </c>
      <c r="CC9" s="10">
        <f t="shared" si="46"/>
        <v>2.8780785987818905E-3</v>
      </c>
      <c r="CD9" s="10">
        <f t="shared" si="47"/>
        <v>1.7102457125488706</v>
      </c>
      <c r="CE9" s="10">
        <f t="shared" si="48"/>
        <v>3.2225692952129695E-2</v>
      </c>
      <c r="CF9" s="10">
        <f t="shared" si="49"/>
        <v>7.8080694840310355E-4</v>
      </c>
      <c r="CG9" s="10">
        <f t="shared" si="50"/>
        <v>8.0394104708811798E-3</v>
      </c>
      <c r="CH9" s="10">
        <f t="shared" si="51"/>
        <v>0.77244263350824804</v>
      </c>
      <c r="CI9" s="10">
        <f t="shared" si="52"/>
        <v>0.10714973603340854</v>
      </c>
      <c r="CJ9" s="10">
        <f t="shared" si="53"/>
        <v>1.1289774172770842E-2</v>
      </c>
      <c r="CK9" s="10">
        <f t="shared" si="54"/>
        <v>0</v>
      </c>
      <c r="CL9" s="10">
        <f t="shared" si="55"/>
        <v>3.1215776087958885E-4</v>
      </c>
      <c r="CM9" s="17">
        <f t="shared" si="56"/>
        <v>4.923057293291464</v>
      </c>
      <c r="CO9" s="14">
        <f t="shared" si="57"/>
        <v>86.705367141790518</v>
      </c>
      <c r="CP9" s="14">
        <f t="shared" si="58"/>
        <v>12.027374977644117</v>
      </c>
      <c r="CQ9" s="24"/>
      <c r="CR9" s="21">
        <f>CH9/($CH9+$CI9)*100</f>
        <v>87.818250846213829</v>
      </c>
      <c r="CS9" s="21">
        <f t="shared" si="59"/>
        <v>12.181749153786178</v>
      </c>
      <c r="CU9" s="16" t="s">
        <v>38</v>
      </c>
    </row>
    <row r="10" spans="1:99" ht="15" x14ac:dyDescent="0.25">
      <c r="A10" s="3" t="s">
        <v>7</v>
      </c>
      <c r="B10" s="3" t="s">
        <v>52</v>
      </c>
      <c r="C10" s="4">
        <v>50.378</v>
      </c>
      <c r="D10" s="4">
        <v>2.5999999999999999E-2</v>
      </c>
      <c r="E10" s="4">
        <v>31.234000000000002</v>
      </c>
      <c r="F10" s="4">
        <v>0.70599999999999996</v>
      </c>
      <c r="G10" s="4">
        <v>0.04</v>
      </c>
      <c r="H10" s="4">
        <v>6.9000000000000006E-2</v>
      </c>
      <c r="I10" s="4">
        <v>15.147</v>
      </c>
      <c r="J10" s="4">
        <v>2.0310000000000001</v>
      </c>
      <c r="K10" s="4">
        <v>0.23300000000000001</v>
      </c>
      <c r="L10" s="4">
        <v>0</v>
      </c>
      <c r="M10" s="4">
        <v>3.5000000000000003E-2</v>
      </c>
      <c r="N10" s="4">
        <f t="shared" si="14"/>
        <v>99.899000000000029</v>
      </c>
      <c r="P10" s="5">
        <f t="shared" si="0"/>
        <v>0.83845949004726716</v>
      </c>
      <c r="Q10" s="5">
        <f t="shared" si="1"/>
        <v>3.2554528835799964E-4</v>
      </c>
      <c r="R10" s="5">
        <f t="shared" si="2"/>
        <v>0.30633281352674063</v>
      </c>
      <c r="S10" s="5">
        <f t="shared" si="3"/>
        <v>9.8268470575135023E-3</v>
      </c>
      <c r="T10" s="5">
        <f t="shared" si="4"/>
        <v>5.6388062647137608E-4</v>
      </c>
      <c r="U10" s="5">
        <f t="shared" si="5"/>
        <v>1.7119888844779674E-3</v>
      </c>
      <c r="V10" s="5">
        <f t="shared" si="6"/>
        <v>0.27011074058883322</v>
      </c>
      <c r="W10" s="5">
        <f t="shared" si="7"/>
        <v>3.2769163749011766E-2</v>
      </c>
      <c r="X10" s="5">
        <f t="shared" si="8"/>
        <v>2.4735657565077077E-3</v>
      </c>
      <c r="Y10" s="5">
        <f t="shared" si="9"/>
        <v>0</v>
      </c>
      <c r="Z10" s="5">
        <f t="shared" si="10"/>
        <v>2.4656742914708804E-4</v>
      </c>
      <c r="AB10" s="1">
        <v>2</v>
      </c>
      <c r="AC10" s="1">
        <v>2</v>
      </c>
      <c r="AD10" s="1">
        <v>3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3</v>
      </c>
      <c r="AL10" s="1">
        <v>5</v>
      </c>
      <c r="AN10" s="5">
        <f t="shared" si="15"/>
        <v>1.6769189800945343</v>
      </c>
      <c r="AO10" s="5">
        <f t="shared" si="16"/>
        <v>6.5109057671599929E-4</v>
      </c>
      <c r="AP10" s="5">
        <f t="shared" si="17"/>
        <v>0.91899844058022184</v>
      </c>
      <c r="AQ10" s="5">
        <f t="shared" si="18"/>
        <v>9.8268470575135023E-3</v>
      </c>
      <c r="AR10" s="5">
        <f t="shared" si="19"/>
        <v>5.6388062647137608E-4</v>
      </c>
      <c r="AS10" s="5">
        <f t="shared" si="20"/>
        <v>1.7119888844779674E-3</v>
      </c>
      <c r="AT10" s="5">
        <f t="shared" si="21"/>
        <v>0.27011074058883322</v>
      </c>
      <c r="AU10" s="5">
        <f t="shared" si="22"/>
        <v>3.2769163749011766E-2</v>
      </c>
      <c r="AV10" s="5">
        <f t="shared" si="23"/>
        <v>2.4735657565077077E-3</v>
      </c>
      <c r="AW10" s="5">
        <f t="shared" si="24"/>
        <v>0</v>
      </c>
      <c r="AX10" s="5">
        <f t="shared" si="25"/>
        <v>1.2328371457354403E-3</v>
      </c>
      <c r="AY10" s="5">
        <f t="shared" si="26"/>
        <v>2.9152575350600229</v>
      </c>
      <c r="BA10" s="1">
        <v>8</v>
      </c>
      <c r="BB10" s="7">
        <f t="shared" si="27"/>
        <v>2.7441829422577193</v>
      </c>
      <c r="BD10" s="10">
        <f t="shared" si="28"/>
        <v>4.601772460723633</v>
      </c>
      <c r="BE10" s="10">
        <f t="shared" si="29"/>
        <v>1.7867116544887862E-3</v>
      </c>
      <c r="BF10" s="10">
        <f t="shared" si="30"/>
        <v>2.5218998446016889</v>
      </c>
      <c r="BG10" s="10">
        <f t="shared" si="31"/>
        <v>2.6966666071404015E-2</v>
      </c>
      <c r="BH10" s="10">
        <f t="shared" si="32"/>
        <v>1.5473915966323468E-3</v>
      </c>
      <c r="BI10" s="10">
        <f t="shared" si="33"/>
        <v>4.6980106941192593E-3</v>
      </c>
      <c r="BJ10" s="10">
        <f t="shared" si="34"/>
        <v>0.74123328684447587</v>
      </c>
      <c r="BK10" s="10">
        <f t="shared" si="35"/>
        <v>8.9924580192088099E-2</v>
      </c>
      <c r="BL10" s="10">
        <f t="shared" si="36"/>
        <v>6.7879169555612627E-3</v>
      </c>
      <c r="BM10" s="10">
        <f t="shared" si="37"/>
        <v>0</v>
      </c>
      <c r="BN10" s="10">
        <f t="shared" si="38"/>
        <v>3.383130665908889E-3</v>
      </c>
      <c r="BP10" s="1">
        <f t="shared" si="39"/>
        <v>0.5</v>
      </c>
      <c r="BQ10" s="1">
        <f t="shared" si="39"/>
        <v>0.5</v>
      </c>
      <c r="BR10" s="7">
        <f t="shared" si="40"/>
        <v>0.66666666666666663</v>
      </c>
      <c r="BS10" s="1">
        <f t="shared" si="41"/>
        <v>1</v>
      </c>
      <c r="BT10" s="1">
        <f t="shared" si="41"/>
        <v>1</v>
      </c>
      <c r="BU10" s="1">
        <f t="shared" si="41"/>
        <v>1</v>
      </c>
      <c r="BV10" s="1">
        <f t="shared" si="41"/>
        <v>1</v>
      </c>
      <c r="BW10" s="1">
        <f t="shared" si="42"/>
        <v>2</v>
      </c>
      <c r="BX10" s="1">
        <f t="shared" si="42"/>
        <v>2</v>
      </c>
      <c r="BY10" s="7">
        <f t="shared" si="43"/>
        <v>0.66666666666666663</v>
      </c>
      <c r="BZ10" s="7">
        <f t="shared" si="44"/>
        <v>0.4</v>
      </c>
      <c r="CB10" s="10">
        <f t="shared" si="45"/>
        <v>2.3008862303618165</v>
      </c>
      <c r="CC10" s="10">
        <f t="shared" si="46"/>
        <v>8.9335582724439308E-4</v>
      </c>
      <c r="CD10" s="10">
        <f t="shared" si="47"/>
        <v>1.6812665630677925</v>
      </c>
      <c r="CE10" s="10">
        <f t="shared" si="48"/>
        <v>2.6966666071404015E-2</v>
      </c>
      <c r="CF10" s="10">
        <f t="shared" si="49"/>
        <v>1.5473915966323468E-3</v>
      </c>
      <c r="CG10" s="10">
        <f t="shared" si="50"/>
        <v>4.6980106941192593E-3</v>
      </c>
      <c r="CH10" s="10">
        <f t="shared" si="51"/>
        <v>0.74123328684447587</v>
      </c>
      <c r="CI10" s="10">
        <f t="shared" si="52"/>
        <v>0.1798491603841762</v>
      </c>
      <c r="CJ10" s="10">
        <f t="shared" si="53"/>
        <v>1.3575833911122525E-2</v>
      </c>
      <c r="CK10" s="10">
        <f t="shared" si="54"/>
        <v>0</v>
      </c>
      <c r="CL10" s="10">
        <f t="shared" si="55"/>
        <v>1.3532522663635557E-3</v>
      </c>
      <c r="CM10" s="17">
        <f t="shared" si="56"/>
        <v>4.9522697510251472</v>
      </c>
      <c r="CO10" s="14">
        <f t="shared" si="57"/>
        <v>79.305271434665357</v>
      </c>
      <c r="CP10" s="14">
        <f t="shared" si="58"/>
        <v>19.242236870234336</v>
      </c>
      <c r="CQ10" s="24"/>
      <c r="CR10" s="21">
        <f>CH10/($CH10+$CI10)*100</f>
        <v>80.474151806355081</v>
      </c>
      <c r="CS10" s="21">
        <f t="shared" si="59"/>
        <v>19.525848193644922</v>
      </c>
      <c r="CU10" s="16" t="s">
        <v>38</v>
      </c>
    </row>
    <row r="11" spans="1:99" ht="15" x14ac:dyDescent="0.25">
      <c r="A11" s="3" t="s">
        <v>8</v>
      </c>
      <c r="B11" s="3" t="s">
        <v>52</v>
      </c>
      <c r="C11" s="4">
        <v>46.701999999999998</v>
      </c>
      <c r="D11" s="4">
        <v>4.2000000000000003E-2</v>
      </c>
      <c r="E11" s="4">
        <v>34.26</v>
      </c>
      <c r="F11" s="4">
        <v>0.33700000000000002</v>
      </c>
      <c r="G11" s="4">
        <v>2E-3</v>
      </c>
      <c r="H11" s="4">
        <v>0.14599999999999999</v>
      </c>
      <c r="I11" s="4">
        <v>17.407</v>
      </c>
      <c r="J11" s="4">
        <v>0.755</v>
      </c>
      <c r="K11" s="4">
        <v>6.3E-2</v>
      </c>
      <c r="L11" s="4">
        <v>0</v>
      </c>
      <c r="M11" s="4">
        <v>0</v>
      </c>
      <c r="N11" s="4">
        <f t="shared" si="14"/>
        <v>99.713999999999984</v>
      </c>
      <c r="P11" s="5">
        <f t="shared" si="0"/>
        <v>0.77727847679914774</v>
      </c>
      <c r="Q11" s="5">
        <f t="shared" si="1"/>
        <v>5.2588085042446105E-4</v>
      </c>
      <c r="R11" s="5">
        <f t="shared" si="2"/>
        <v>0.33601082766940299</v>
      </c>
      <c r="S11" s="5">
        <f t="shared" si="3"/>
        <v>4.6907187795779751E-3</v>
      </c>
      <c r="T11" s="5">
        <f t="shared" si="4"/>
        <v>2.8194031323568801E-5</v>
      </c>
      <c r="U11" s="5">
        <f t="shared" si="5"/>
        <v>3.6224692338229451E-3</v>
      </c>
      <c r="V11" s="5">
        <f t="shared" si="6"/>
        <v>0.31041246857000199</v>
      </c>
      <c r="W11" s="5">
        <f t="shared" si="7"/>
        <v>1.218154536213879E-2</v>
      </c>
      <c r="X11" s="5">
        <f t="shared" si="8"/>
        <v>6.6881820884113975E-4</v>
      </c>
      <c r="Y11" s="5">
        <f t="shared" si="9"/>
        <v>0</v>
      </c>
      <c r="Z11" s="5">
        <f t="shared" si="10"/>
        <v>0</v>
      </c>
      <c r="AB11" s="1">
        <v>2</v>
      </c>
      <c r="AC11" s="1">
        <v>2</v>
      </c>
      <c r="AD11" s="1">
        <v>3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3</v>
      </c>
      <c r="AL11" s="1">
        <v>5</v>
      </c>
      <c r="AN11" s="5">
        <f t="shared" si="15"/>
        <v>1.5545569535982955</v>
      </c>
      <c r="AO11" s="5">
        <f t="shared" si="16"/>
        <v>1.0517617008489221E-3</v>
      </c>
      <c r="AP11" s="5">
        <f t="shared" si="17"/>
        <v>1.008032483008209</v>
      </c>
      <c r="AQ11" s="5">
        <f t="shared" si="18"/>
        <v>4.6907187795779751E-3</v>
      </c>
      <c r="AR11" s="5">
        <f t="shared" si="19"/>
        <v>2.8194031323568801E-5</v>
      </c>
      <c r="AS11" s="5">
        <f t="shared" si="20"/>
        <v>3.6224692338229451E-3</v>
      </c>
      <c r="AT11" s="5">
        <f t="shared" si="21"/>
        <v>0.31041246857000199</v>
      </c>
      <c r="AU11" s="5">
        <f t="shared" si="22"/>
        <v>1.218154536213879E-2</v>
      </c>
      <c r="AV11" s="5">
        <f t="shared" si="23"/>
        <v>6.6881820884113975E-4</v>
      </c>
      <c r="AW11" s="5">
        <f t="shared" si="24"/>
        <v>0</v>
      </c>
      <c r="AX11" s="5">
        <f t="shared" si="25"/>
        <v>0</v>
      </c>
      <c r="AY11" s="5">
        <f t="shared" si="26"/>
        <v>2.8952454124930598</v>
      </c>
      <c r="BA11" s="1">
        <v>8</v>
      </c>
      <c r="BB11" s="7">
        <f t="shared" si="27"/>
        <v>2.7631509113112798</v>
      </c>
      <c r="BD11" s="10">
        <f t="shared" si="28"/>
        <v>4.2954754630204173</v>
      </c>
      <c r="BE11" s="10">
        <f t="shared" si="29"/>
        <v>2.9061763021830007E-3</v>
      </c>
      <c r="BF11" s="10">
        <f t="shared" si="30"/>
        <v>2.7853458740555048</v>
      </c>
      <c r="BG11" s="10">
        <f t="shared" si="31"/>
        <v>1.2961163870495816E-2</v>
      </c>
      <c r="BH11" s="10">
        <f t="shared" si="32"/>
        <v>7.7904363345257898E-5</v>
      </c>
      <c r="BI11" s="10">
        <f t="shared" si="33"/>
        <v>1.0009429164634945E-2</v>
      </c>
      <c r="BJ11" s="10">
        <f t="shared" si="34"/>
        <v>0.85771649541158501</v>
      </c>
      <c r="BK11" s="10">
        <f t="shared" si="35"/>
        <v>3.365944816857349E-2</v>
      </c>
      <c r="BL11" s="10">
        <f t="shared" si="36"/>
        <v>1.8480456432609731E-3</v>
      </c>
      <c r="BM11" s="10">
        <f t="shared" si="37"/>
        <v>0</v>
      </c>
      <c r="BN11" s="10">
        <f t="shared" si="38"/>
        <v>0</v>
      </c>
      <c r="BP11" s="1">
        <f t="shared" si="39"/>
        <v>0.5</v>
      </c>
      <c r="BQ11" s="1">
        <f t="shared" si="39"/>
        <v>0.5</v>
      </c>
      <c r="BR11" s="7">
        <f t="shared" si="40"/>
        <v>0.66666666666666663</v>
      </c>
      <c r="BS11" s="1">
        <f t="shared" si="41"/>
        <v>1</v>
      </c>
      <c r="BT11" s="1">
        <f t="shared" si="41"/>
        <v>1</v>
      </c>
      <c r="BU11" s="1">
        <f t="shared" si="41"/>
        <v>1</v>
      </c>
      <c r="BV11" s="1">
        <f t="shared" si="41"/>
        <v>1</v>
      </c>
      <c r="BW11" s="1">
        <f t="shared" si="42"/>
        <v>2</v>
      </c>
      <c r="BX11" s="1">
        <f t="shared" si="42"/>
        <v>2</v>
      </c>
      <c r="BY11" s="7">
        <f t="shared" si="43"/>
        <v>0.66666666666666663</v>
      </c>
      <c r="BZ11" s="7">
        <f t="shared" si="44"/>
        <v>0.4</v>
      </c>
      <c r="CB11" s="10">
        <f t="shared" si="45"/>
        <v>2.1477377315102086</v>
      </c>
      <c r="CC11" s="10">
        <f t="shared" si="46"/>
        <v>1.4530881510915004E-3</v>
      </c>
      <c r="CD11" s="10">
        <f t="shared" si="47"/>
        <v>1.8568972493703364</v>
      </c>
      <c r="CE11" s="10">
        <f t="shared" si="48"/>
        <v>1.2961163870495816E-2</v>
      </c>
      <c r="CF11" s="10">
        <f t="shared" si="49"/>
        <v>7.7904363345257898E-5</v>
      </c>
      <c r="CG11" s="10">
        <f t="shared" si="50"/>
        <v>1.0009429164634945E-2</v>
      </c>
      <c r="CH11" s="10">
        <f t="shared" si="51"/>
        <v>0.85771649541158501</v>
      </c>
      <c r="CI11" s="10">
        <f t="shared" si="52"/>
        <v>6.731889633714698E-2</v>
      </c>
      <c r="CJ11" s="10">
        <f t="shared" si="53"/>
        <v>3.6960912865219462E-3</v>
      </c>
      <c r="CK11" s="10">
        <f t="shared" si="54"/>
        <v>0</v>
      </c>
      <c r="CL11" s="10">
        <f t="shared" si="55"/>
        <v>0</v>
      </c>
      <c r="CM11" s="17">
        <f t="shared" si="56"/>
        <v>4.9578680494653655</v>
      </c>
      <c r="CO11" s="14">
        <f t="shared" si="57"/>
        <v>92.353550092694221</v>
      </c>
      <c r="CP11" s="14">
        <f t="shared" si="58"/>
        <v>7.2484779041986673</v>
      </c>
      <c r="CQ11" s="24"/>
      <c r="CR11" s="21">
        <f>CH11/($CH11+$CI11)*100</f>
        <v>92.722559921746992</v>
      </c>
      <c r="CS11" s="21">
        <f t="shared" si="59"/>
        <v>7.2774400782530124</v>
      </c>
      <c r="CU11" s="16" t="s">
        <v>39</v>
      </c>
    </row>
    <row r="12" spans="1:99" ht="15" x14ac:dyDescent="0.25">
      <c r="A12" s="3" t="s">
        <v>9</v>
      </c>
      <c r="B12" s="3" t="s">
        <v>52</v>
      </c>
      <c r="C12" s="4">
        <v>45.476999999999997</v>
      </c>
      <c r="D12" s="4">
        <v>0.04</v>
      </c>
      <c r="E12" s="4">
        <v>34.405000000000001</v>
      </c>
      <c r="F12" s="4">
        <v>0.28699999999999998</v>
      </c>
      <c r="G12" s="4">
        <v>8.9999999999999993E-3</v>
      </c>
      <c r="H12" s="4">
        <v>0.13700000000000001</v>
      </c>
      <c r="I12" s="4">
        <v>18.099</v>
      </c>
      <c r="J12" s="4">
        <v>0.61299999999999999</v>
      </c>
      <c r="K12" s="4">
        <v>4.7E-2</v>
      </c>
      <c r="L12" s="4">
        <v>1.7000000000000001E-2</v>
      </c>
      <c r="M12" s="4">
        <v>1.2999999999999999E-2</v>
      </c>
      <c r="N12" s="4">
        <f t="shared" si="14"/>
        <v>99.144000000000005</v>
      </c>
      <c r="P12" s="5">
        <f t="shared" si="0"/>
        <v>0.75689035350509282</v>
      </c>
      <c r="Q12" s="5">
        <f t="shared" si="1"/>
        <v>5.0083890516615327E-4</v>
      </c>
      <c r="R12" s="5">
        <f t="shared" si="2"/>
        <v>0.33743294004570379</v>
      </c>
      <c r="S12" s="5">
        <f t="shared" si="3"/>
        <v>3.9947664383942986E-3</v>
      </c>
      <c r="T12" s="5">
        <f t="shared" si="4"/>
        <v>1.268731409560596E-4</v>
      </c>
      <c r="U12" s="5">
        <f t="shared" si="5"/>
        <v>3.3991663358475584E-3</v>
      </c>
      <c r="V12" s="5">
        <f t="shared" si="6"/>
        <v>0.32275264368635986</v>
      </c>
      <c r="W12" s="5">
        <f t="shared" si="7"/>
        <v>9.8904467642265924E-3</v>
      </c>
      <c r="X12" s="5">
        <f t="shared" si="8"/>
        <v>4.9895961611958048E-4</v>
      </c>
      <c r="Y12" s="5">
        <f t="shared" si="9"/>
        <v>1.1184931660067556E-4</v>
      </c>
      <c r="Z12" s="5">
        <f t="shared" si="10"/>
        <v>9.1582187968918403E-5</v>
      </c>
      <c r="AB12" s="1">
        <v>2</v>
      </c>
      <c r="AC12" s="1">
        <v>2</v>
      </c>
      <c r="AD12" s="1">
        <v>3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3</v>
      </c>
      <c r="AL12" s="1">
        <v>5</v>
      </c>
      <c r="AN12" s="5">
        <f t="shared" si="15"/>
        <v>1.5137807070101856</v>
      </c>
      <c r="AO12" s="5">
        <f t="shared" si="16"/>
        <v>1.0016778103323065E-3</v>
      </c>
      <c r="AP12" s="5">
        <f t="shared" si="17"/>
        <v>1.0122988201371115</v>
      </c>
      <c r="AQ12" s="5">
        <f t="shared" si="18"/>
        <v>3.9947664383942986E-3</v>
      </c>
      <c r="AR12" s="5">
        <f t="shared" si="19"/>
        <v>1.268731409560596E-4</v>
      </c>
      <c r="AS12" s="5">
        <f t="shared" si="20"/>
        <v>3.3991663358475584E-3</v>
      </c>
      <c r="AT12" s="5">
        <f t="shared" si="21"/>
        <v>0.32275264368635986</v>
      </c>
      <c r="AU12" s="5">
        <f t="shared" si="22"/>
        <v>9.8904467642265924E-3</v>
      </c>
      <c r="AV12" s="5">
        <f t="shared" si="23"/>
        <v>4.9895961611958048E-4</v>
      </c>
      <c r="AW12" s="5">
        <f t="shared" si="24"/>
        <v>3.3554794980202669E-4</v>
      </c>
      <c r="AX12" s="5">
        <f t="shared" si="25"/>
        <v>4.5791093984459203E-4</v>
      </c>
      <c r="AY12" s="5">
        <f t="shared" si="26"/>
        <v>2.86853751982918</v>
      </c>
      <c r="BA12" s="1">
        <v>8</v>
      </c>
      <c r="BB12" s="7">
        <f t="shared" si="27"/>
        <v>2.7888775882131029</v>
      </c>
      <c r="BD12" s="10">
        <f t="shared" si="28"/>
        <v>4.2217490872500925</v>
      </c>
      <c r="BE12" s="10">
        <f t="shared" si="29"/>
        <v>2.7935567958461451E-3</v>
      </c>
      <c r="BF12" s="10">
        <f t="shared" si="30"/>
        <v>2.823177492054957</v>
      </c>
      <c r="BG12" s="10">
        <f t="shared" si="31"/>
        <v>1.1140914590183739E-2</v>
      </c>
      <c r="BH12" s="10">
        <f t="shared" si="32"/>
        <v>3.5383365935855654E-4</v>
      </c>
      <c r="BI12" s="10">
        <f t="shared" si="33"/>
        <v>9.4798588126537089E-3</v>
      </c>
      <c r="BJ12" s="10">
        <f t="shared" si="34"/>
        <v>0.90011761451341832</v>
      </c>
      <c r="BK12" s="10">
        <f t="shared" si="35"/>
        <v>2.7583245318166347E-2</v>
      </c>
      <c r="BL12" s="10">
        <f t="shared" si="36"/>
        <v>1.3915372908193113E-3</v>
      </c>
      <c r="BM12" s="10">
        <f t="shared" si="37"/>
        <v>9.3580215697372754E-4</v>
      </c>
      <c r="BN12" s="10">
        <f t="shared" si="38"/>
        <v>1.2770575575301812E-3</v>
      </c>
      <c r="BP12" s="1">
        <f t="shared" si="39"/>
        <v>0.5</v>
      </c>
      <c r="BQ12" s="1">
        <f t="shared" si="39"/>
        <v>0.5</v>
      </c>
      <c r="BR12" s="7">
        <f t="shared" si="40"/>
        <v>0.66666666666666663</v>
      </c>
      <c r="BS12" s="1">
        <f t="shared" si="41"/>
        <v>1</v>
      </c>
      <c r="BT12" s="1">
        <f t="shared" si="41"/>
        <v>1</v>
      </c>
      <c r="BU12" s="1">
        <f t="shared" si="41"/>
        <v>1</v>
      </c>
      <c r="BV12" s="1">
        <f t="shared" si="41"/>
        <v>1</v>
      </c>
      <c r="BW12" s="1">
        <f t="shared" si="42"/>
        <v>2</v>
      </c>
      <c r="BX12" s="1">
        <f t="shared" si="42"/>
        <v>2</v>
      </c>
      <c r="BY12" s="7">
        <f t="shared" si="43"/>
        <v>0.66666666666666663</v>
      </c>
      <c r="BZ12" s="7">
        <f t="shared" si="44"/>
        <v>0.4</v>
      </c>
      <c r="CB12" s="10">
        <f t="shared" si="45"/>
        <v>2.1108745436250462</v>
      </c>
      <c r="CC12" s="10">
        <f t="shared" si="46"/>
        <v>1.3967783979230725E-3</v>
      </c>
      <c r="CD12" s="10">
        <f t="shared" si="47"/>
        <v>1.882118328036638</v>
      </c>
      <c r="CE12" s="10">
        <f t="shared" si="48"/>
        <v>1.1140914590183739E-2</v>
      </c>
      <c r="CF12" s="10">
        <f t="shared" si="49"/>
        <v>3.5383365935855654E-4</v>
      </c>
      <c r="CG12" s="10">
        <f t="shared" si="50"/>
        <v>9.4798588126537089E-3</v>
      </c>
      <c r="CH12" s="10">
        <f t="shared" si="51"/>
        <v>0.90011761451341832</v>
      </c>
      <c r="CI12" s="10">
        <f t="shared" si="52"/>
        <v>5.5166490636332693E-2</v>
      </c>
      <c r="CJ12" s="10">
        <f t="shared" si="53"/>
        <v>2.7830745816386226E-3</v>
      </c>
      <c r="CK12" s="10">
        <f t="shared" si="54"/>
        <v>6.2386810464915162E-4</v>
      </c>
      <c r="CL12" s="10">
        <f t="shared" si="55"/>
        <v>5.1082302301207248E-4</v>
      </c>
      <c r="CM12" s="17">
        <f t="shared" si="56"/>
        <v>4.9745661279808546</v>
      </c>
      <c r="CO12" s="14">
        <f>CH12/($CH12+$CI12+$CJ12)*100</f>
        <v>93.951408998874328</v>
      </c>
      <c r="CP12" s="14">
        <f>CI12/($CH12+$CI12+CJ12)*100</f>
        <v>5.7581025426421091</v>
      </c>
      <c r="CQ12" s="24"/>
      <c r="CR12" s="21">
        <f>CH12/($CH12+$CI12)*100</f>
        <v>94.225122103577263</v>
      </c>
      <c r="CS12" s="21">
        <f t="shared" si="59"/>
        <v>5.7748778964227352</v>
      </c>
      <c r="CU12" s="16" t="s">
        <v>39</v>
      </c>
    </row>
    <row r="13" spans="1:99" x14ac:dyDescent="0.2">
      <c r="A13" s="3"/>
      <c r="B13" s="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BB13" s="7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</row>
    <row r="14" spans="1:99" ht="15" x14ac:dyDescent="0.25"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BB14" s="7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O14" s="19" t="s">
        <v>60</v>
      </c>
      <c r="CP14" s="19" t="s">
        <v>61</v>
      </c>
      <c r="CQ14" s="23"/>
      <c r="CR14" s="23"/>
      <c r="CS14" s="23"/>
      <c r="CT14" s="8"/>
      <c r="CU14" s="2"/>
    </row>
    <row r="15" spans="1:99" ht="15" x14ac:dyDescent="0.25">
      <c r="A15" s="1" t="s">
        <v>54</v>
      </c>
      <c r="B15" s="1" t="s">
        <v>53</v>
      </c>
      <c r="C15" s="4">
        <v>32.96</v>
      </c>
      <c r="D15" s="4">
        <v>0.13400000000000001</v>
      </c>
      <c r="E15" s="4">
        <v>0</v>
      </c>
      <c r="F15" s="4">
        <v>48.517000000000003</v>
      </c>
      <c r="G15" s="4">
        <v>0.48699999999999999</v>
      </c>
      <c r="H15" s="4">
        <v>16.419</v>
      </c>
      <c r="I15" s="4">
        <v>0.372</v>
      </c>
      <c r="J15" s="4">
        <v>0</v>
      </c>
      <c r="K15" s="4">
        <v>0</v>
      </c>
      <c r="L15" s="4">
        <v>3.3000000000000002E-2</v>
      </c>
      <c r="M15" s="4">
        <v>1.0999999999999999E-2</v>
      </c>
      <c r="N15" s="4">
        <f t="shared" ref="N15:N20" si="60">SUM(C15:M15)</f>
        <v>98.932999999999993</v>
      </c>
      <c r="P15" s="5">
        <f t="shared" ref="P15:Z20" si="61">C15/C$23</f>
        <v>0.54856534185473671</v>
      </c>
      <c r="Q15" s="5">
        <f t="shared" si="61"/>
        <v>1.6778103323066137E-3</v>
      </c>
      <c r="R15" s="5">
        <f t="shared" si="61"/>
        <v>0</v>
      </c>
      <c r="S15" s="5">
        <f t="shared" si="61"/>
        <v>0.67531039474416799</v>
      </c>
      <c r="T15" s="5">
        <f t="shared" si="61"/>
        <v>6.8652466272890031E-3</v>
      </c>
      <c r="U15" s="5">
        <f t="shared" si="61"/>
        <v>0.40737892020643113</v>
      </c>
      <c r="V15" s="5">
        <f t="shared" si="61"/>
        <v>6.6337357561923787E-3</v>
      </c>
      <c r="W15" s="5">
        <f t="shared" si="61"/>
        <v>0</v>
      </c>
      <c r="X15" s="5">
        <f t="shared" si="61"/>
        <v>0</v>
      </c>
      <c r="Y15" s="5">
        <f t="shared" si="61"/>
        <v>2.1711926163660549E-4</v>
      </c>
      <c r="Z15" s="5">
        <f t="shared" si="61"/>
        <v>7.7492620589084796E-5</v>
      </c>
      <c r="AB15" s="1">
        <v>2</v>
      </c>
      <c r="AC15" s="1">
        <v>2</v>
      </c>
      <c r="AD15" s="1">
        <v>3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3</v>
      </c>
      <c r="AL15" s="1">
        <v>5</v>
      </c>
      <c r="AN15" s="5">
        <f t="shared" ref="AN15:AN20" si="62">P15*AB15</f>
        <v>1.0971306837094734</v>
      </c>
      <c r="AO15" s="5">
        <f t="shared" ref="AO15:AO20" si="63">Q15*AC15</f>
        <v>3.3556206646132274E-3</v>
      </c>
      <c r="AP15" s="5">
        <f t="shared" ref="AP15:AP20" si="64">R15*AD15</f>
        <v>0</v>
      </c>
      <c r="AQ15" s="5">
        <f t="shared" ref="AQ15:AQ20" si="65">S15*AE15</f>
        <v>0.67531039474416799</v>
      </c>
      <c r="AR15" s="5">
        <f t="shared" ref="AR15:AR20" si="66">T15*AF15</f>
        <v>6.8652466272890031E-3</v>
      </c>
      <c r="AS15" s="5">
        <f t="shared" ref="AS15:AS20" si="67">U15*AG15</f>
        <v>0.40737892020643113</v>
      </c>
      <c r="AT15" s="5">
        <f t="shared" ref="AT15:AT20" si="68">V15*AH15</f>
        <v>6.6337357561923787E-3</v>
      </c>
      <c r="AU15" s="5">
        <f t="shared" ref="AU15:AU20" si="69">W15*AI15</f>
        <v>0</v>
      </c>
      <c r="AV15" s="5">
        <f t="shared" ref="AV15:AV20" si="70">X15*AJ15</f>
        <v>0</v>
      </c>
      <c r="AW15" s="5">
        <f t="shared" ref="AW15:AW20" si="71">Y15*AK15</f>
        <v>6.5135778490981648E-4</v>
      </c>
      <c r="AX15" s="5">
        <f t="shared" ref="AX15:AX20" si="72">Z15*AL15</f>
        <v>3.87463102945424E-4</v>
      </c>
      <c r="AY15" s="5">
        <f t="shared" ref="AY15:AY20" si="73">SUM(AN15:AX15)</f>
        <v>2.197713422596022</v>
      </c>
      <c r="BA15" s="1">
        <v>4</v>
      </c>
      <c r="BB15" s="7">
        <f t="shared" ref="BB15:BB20" si="74">BA15/AY15</f>
        <v>1.8200735177178147</v>
      </c>
      <c r="BD15" s="10">
        <f t="shared" ref="BD15:BD20" si="75">AN15*$BB15</f>
        <v>1.9968585028952524</v>
      </c>
      <c r="BE15" s="10">
        <f t="shared" ref="BE15:BE20" si="76">AO15*$BB15</f>
        <v>6.1074763071691882E-3</v>
      </c>
      <c r="BF15" s="10">
        <f t="shared" ref="BF15:BF20" si="77">AP15*$BB15</f>
        <v>0</v>
      </c>
      <c r="BG15" s="10">
        <f t="shared" ref="BG15:BG20" si="78">AQ15*$BB15</f>
        <v>1.2291145657134239</v>
      </c>
      <c r="BH15" s="10">
        <f t="shared" ref="BH15:BH20" si="79">AR15*$BB15</f>
        <v>1.2495253578930259E-2</v>
      </c>
      <c r="BI15" s="10">
        <f t="shared" ref="BI15:BI20" si="80">AS15*$BB15</f>
        <v>0.741459584344204</v>
      </c>
      <c r="BJ15" s="10">
        <f t="shared" ref="BJ15:BJ20" si="81">AT15*$BB15</f>
        <v>1.2073886773383511E-2</v>
      </c>
      <c r="BK15" s="10">
        <f t="shared" ref="BK15:BK20" si="82">AU15*$BB15</f>
        <v>0</v>
      </c>
      <c r="BL15" s="10">
        <f t="shared" ref="BL15:BL20" si="83">AV15*$BB15</f>
        <v>0</v>
      </c>
      <c r="BM15" s="10">
        <f t="shared" ref="BM15:BM20" si="84">AW15*$BB15</f>
        <v>1.1855190548736934E-3</v>
      </c>
      <c r="BN15" s="10">
        <f t="shared" ref="BN15:BN20" si="85">AX15*$BB15</f>
        <v>7.0521133276373765E-4</v>
      </c>
      <c r="BP15" s="1">
        <f t="shared" ref="BP15:BQ20" si="86">1/2</f>
        <v>0.5</v>
      </c>
      <c r="BQ15" s="1">
        <f t="shared" si="86"/>
        <v>0.5</v>
      </c>
      <c r="BR15" s="7">
        <f t="shared" ref="BR15:BR20" si="87">2/3</f>
        <v>0.66666666666666663</v>
      </c>
      <c r="BS15" s="1">
        <f t="shared" ref="BS15:BV20" si="88">1/1</f>
        <v>1</v>
      </c>
      <c r="BT15" s="1">
        <f t="shared" si="88"/>
        <v>1</v>
      </c>
      <c r="BU15" s="1">
        <f t="shared" si="88"/>
        <v>1</v>
      </c>
      <c r="BV15" s="1">
        <f t="shared" si="88"/>
        <v>1</v>
      </c>
      <c r="BW15" s="1">
        <f t="shared" ref="BW15:BX20" si="89">2/1</f>
        <v>2</v>
      </c>
      <c r="BX15" s="1">
        <f t="shared" si="89"/>
        <v>2</v>
      </c>
      <c r="BY15" s="7">
        <f t="shared" ref="BY15:BY20" si="90">2/3</f>
        <v>0.66666666666666663</v>
      </c>
      <c r="BZ15" s="7">
        <f t="shared" ref="BZ15:BZ20" si="91">2/5</f>
        <v>0.4</v>
      </c>
      <c r="CB15" s="10">
        <f t="shared" ref="CB15:CB20" si="92">BD15*BP15</f>
        <v>0.99842925144762618</v>
      </c>
      <c r="CC15" s="10">
        <f t="shared" ref="CC15:CC20" si="93">BE15*BQ15</f>
        <v>3.0537381535845941E-3</v>
      </c>
      <c r="CD15" s="10">
        <f t="shared" ref="CD15:CD20" si="94">BF15*BR15</f>
        <v>0</v>
      </c>
      <c r="CE15" s="10">
        <f t="shared" ref="CE15:CE20" si="95">BG15*BS15</f>
        <v>1.2291145657134239</v>
      </c>
      <c r="CF15" s="10">
        <f t="shared" ref="CF15:CF20" si="96">BH15*BT15</f>
        <v>1.2495253578930259E-2</v>
      </c>
      <c r="CG15" s="10">
        <f t="shared" ref="CG15:CG20" si="97">BI15*BU15</f>
        <v>0.741459584344204</v>
      </c>
      <c r="CH15" s="10">
        <f t="shared" ref="CH15:CH20" si="98">BJ15*BV15</f>
        <v>1.2073886773383511E-2</v>
      </c>
      <c r="CI15" s="10">
        <f t="shared" ref="CI15:CI20" si="99">BK15*BW15</f>
        <v>0</v>
      </c>
      <c r="CJ15" s="10">
        <f t="shared" ref="CJ15:CJ20" si="100">BL15*BX15</f>
        <v>0</v>
      </c>
      <c r="CK15" s="10">
        <f t="shared" ref="CK15:CK20" si="101">BM15*BY15</f>
        <v>7.9034603658246225E-4</v>
      </c>
      <c r="CL15" s="10">
        <f t="shared" ref="CL15:CL20" si="102">BN15*BZ15</f>
        <v>2.8208453310549507E-4</v>
      </c>
      <c r="CM15" s="17">
        <f t="shared" ref="CM15:CM20" si="103">SUM(CB15:CL15)</f>
        <v>2.9976987105808401</v>
      </c>
      <c r="CO15" s="20">
        <f t="shared" ref="CO15:CO20" si="104">100*(CG15/(CG15+CE15))</f>
        <v>37.62657620990921</v>
      </c>
      <c r="CP15" s="20">
        <f t="shared" ref="CP15:CP20" si="105">100*(CE15/(CG15+CE15))</f>
        <v>62.37342379009079</v>
      </c>
      <c r="CQ15" s="26"/>
      <c r="CR15" s="26"/>
      <c r="CS15" s="26"/>
    </row>
    <row r="16" spans="1:99" ht="15" x14ac:dyDescent="0.25">
      <c r="A16" s="1" t="s">
        <v>55</v>
      </c>
      <c r="B16" s="1" t="s">
        <v>53</v>
      </c>
      <c r="C16" s="4">
        <v>31.792999999999999</v>
      </c>
      <c r="D16" s="4">
        <v>0.23699999999999999</v>
      </c>
      <c r="E16" s="4">
        <v>0</v>
      </c>
      <c r="F16" s="4">
        <v>52.603999999999999</v>
      </c>
      <c r="G16" s="4">
        <v>0.55600000000000005</v>
      </c>
      <c r="H16" s="4">
        <v>12.407999999999999</v>
      </c>
      <c r="I16" s="4">
        <v>0.33</v>
      </c>
      <c r="J16" s="4">
        <v>0</v>
      </c>
      <c r="K16" s="4">
        <v>0</v>
      </c>
      <c r="L16" s="4">
        <v>3.5000000000000003E-2</v>
      </c>
      <c r="M16" s="4">
        <v>5.6000000000000001E-2</v>
      </c>
      <c r="N16" s="4">
        <f t="shared" si="60"/>
        <v>98.018999999999991</v>
      </c>
      <c r="P16" s="5">
        <f t="shared" si="61"/>
        <v>0.52914253378603282</v>
      </c>
      <c r="Q16" s="5">
        <f t="shared" si="61"/>
        <v>2.9674705131094584E-3</v>
      </c>
      <c r="R16" s="5">
        <f t="shared" si="61"/>
        <v>0</v>
      </c>
      <c r="S16" s="5">
        <f t="shared" si="61"/>
        <v>0.73219753911252161</v>
      </c>
      <c r="T16" s="5">
        <f t="shared" si="61"/>
        <v>7.8379407079521273E-3</v>
      </c>
      <c r="U16" s="5">
        <f t="shared" si="61"/>
        <v>0.30786026200873362</v>
      </c>
      <c r="V16" s="5">
        <f t="shared" si="61"/>
        <v>5.884765590170659E-3</v>
      </c>
      <c r="W16" s="5">
        <f t="shared" si="61"/>
        <v>0</v>
      </c>
      <c r="X16" s="5">
        <f t="shared" si="61"/>
        <v>0</v>
      </c>
      <c r="Y16" s="5">
        <f t="shared" si="61"/>
        <v>2.3027800476609677E-4</v>
      </c>
      <c r="Z16" s="5">
        <f t="shared" si="61"/>
        <v>3.9450788663534083E-4</v>
      </c>
      <c r="AB16" s="1">
        <v>2</v>
      </c>
      <c r="AC16" s="1">
        <v>2</v>
      </c>
      <c r="AD16" s="1">
        <v>3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3</v>
      </c>
      <c r="AL16" s="1">
        <v>5</v>
      </c>
      <c r="AN16" s="5">
        <f t="shared" si="62"/>
        <v>1.0582850675720656</v>
      </c>
      <c r="AO16" s="5">
        <f t="shared" si="63"/>
        <v>5.9349410262189168E-3</v>
      </c>
      <c r="AP16" s="5">
        <f t="shared" si="64"/>
        <v>0</v>
      </c>
      <c r="AQ16" s="5">
        <f t="shared" si="65"/>
        <v>0.73219753911252161</v>
      </c>
      <c r="AR16" s="5">
        <f t="shared" si="66"/>
        <v>7.8379407079521273E-3</v>
      </c>
      <c r="AS16" s="5">
        <f t="shared" si="67"/>
        <v>0.30786026200873362</v>
      </c>
      <c r="AT16" s="5">
        <f t="shared" si="68"/>
        <v>5.884765590170659E-3</v>
      </c>
      <c r="AU16" s="5">
        <f t="shared" si="69"/>
        <v>0</v>
      </c>
      <c r="AV16" s="5">
        <f t="shared" si="70"/>
        <v>0</v>
      </c>
      <c r="AW16" s="5">
        <f t="shared" si="71"/>
        <v>6.9083401429829029E-4</v>
      </c>
      <c r="AX16" s="5">
        <f t="shared" si="72"/>
        <v>1.9725394331767043E-3</v>
      </c>
      <c r="AY16" s="5">
        <f t="shared" si="73"/>
        <v>2.1206638894651375</v>
      </c>
      <c r="BA16" s="1">
        <v>4</v>
      </c>
      <c r="BB16" s="7">
        <f t="shared" si="74"/>
        <v>1.8862017785425009</v>
      </c>
      <c r="BD16" s="10">
        <f t="shared" si="75"/>
        <v>1.996139176659401</v>
      </c>
      <c r="BE16" s="10">
        <f t="shared" si="76"/>
        <v>1.1194496319198976E-2</v>
      </c>
      <c r="BF16" s="10">
        <f t="shared" si="77"/>
        <v>0</v>
      </c>
      <c r="BG16" s="10">
        <f t="shared" si="78"/>
        <v>1.3810723005184806</v>
      </c>
      <c r="BH16" s="10">
        <f t="shared" si="79"/>
        <v>1.4783937703449971E-2</v>
      </c>
      <c r="BI16" s="10">
        <f t="shared" si="80"/>
        <v>0.58068657374343369</v>
      </c>
      <c r="BJ16" s="10">
        <f t="shared" si="81"/>
        <v>1.1099855322485606E-2</v>
      </c>
      <c r="BK16" s="10">
        <f t="shared" si="82"/>
        <v>0</v>
      </c>
      <c r="BL16" s="10">
        <f t="shared" si="83"/>
        <v>0</v>
      </c>
      <c r="BM16" s="10">
        <f t="shared" si="84"/>
        <v>1.3030523464470907E-3</v>
      </c>
      <c r="BN16" s="10">
        <f t="shared" si="85"/>
        <v>3.7206073871031164E-3</v>
      </c>
      <c r="BP16" s="1">
        <f t="shared" si="86"/>
        <v>0.5</v>
      </c>
      <c r="BQ16" s="1">
        <f t="shared" si="86"/>
        <v>0.5</v>
      </c>
      <c r="BR16" s="7">
        <f t="shared" si="87"/>
        <v>0.66666666666666663</v>
      </c>
      <c r="BS16" s="1">
        <f t="shared" si="88"/>
        <v>1</v>
      </c>
      <c r="BT16" s="1">
        <f t="shared" si="88"/>
        <v>1</v>
      </c>
      <c r="BU16" s="1">
        <f t="shared" si="88"/>
        <v>1</v>
      </c>
      <c r="BV16" s="1">
        <f t="shared" si="88"/>
        <v>1</v>
      </c>
      <c r="BW16" s="1">
        <f t="shared" si="89"/>
        <v>2</v>
      </c>
      <c r="BX16" s="1">
        <f t="shared" si="89"/>
        <v>2</v>
      </c>
      <c r="BY16" s="7">
        <f t="shared" si="90"/>
        <v>0.66666666666666663</v>
      </c>
      <c r="BZ16" s="7">
        <f t="shared" si="91"/>
        <v>0.4</v>
      </c>
      <c r="CB16" s="10">
        <f t="shared" si="92"/>
        <v>0.9980695883297005</v>
      </c>
      <c r="CC16" s="10">
        <f t="shared" si="93"/>
        <v>5.5972481595994881E-3</v>
      </c>
      <c r="CD16" s="10">
        <f t="shared" si="94"/>
        <v>0</v>
      </c>
      <c r="CE16" s="10">
        <f t="shared" si="95"/>
        <v>1.3810723005184806</v>
      </c>
      <c r="CF16" s="10">
        <f t="shared" si="96"/>
        <v>1.4783937703449971E-2</v>
      </c>
      <c r="CG16" s="10">
        <f t="shared" si="97"/>
        <v>0.58068657374343369</v>
      </c>
      <c r="CH16" s="10">
        <f t="shared" si="98"/>
        <v>1.1099855322485606E-2</v>
      </c>
      <c r="CI16" s="10">
        <f t="shared" si="99"/>
        <v>0</v>
      </c>
      <c r="CJ16" s="10">
        <f t="shared" si="100"/>
        <v>0</v>
      </c>
      <c r="CK16" s="10">
        <f t="shared" si="101"/>
        <v>8.6870156429806047E-4</v>
      </c>
      <c r="CL16" s="10">
        <f t="shared" si="102"/>
        <v>1.4882429548412467E-3</v>
      </c>
      <c r="CM16" s="17">
        <f t="shared" si="103"/>
        <v>2.9936664482962891</v>
      </c>
      <c r="CO16" s="20">
        <f t="shared" si="104"/>
        <v>29.600303144386658</v>
      </c>
      <c r="CP16" s="20">
        <f t="shared" si="105"/>
        <v>70.399696855613342</v>
      </c>
      <c r="CQ16" s="26"/>
      <c r="CR16" s="26"/>
      <c r="CS16" s="26"/>
    </row>
    <row r="17" spans="1:97" ht="15" x14ac:dyDescent="0.25">
      <c r="A17" s="1" t="s">
        <v>56</v>
      </c>
      <c r="B17" s="1" t="s">
        <v>53</v>
      </c>
      <c r="C17" s="4">
        <v>29.65</v>
      </c>
      <c r="D17" s="4">
        <v>0.28399999999999997</v>
      </c>
      <c r="E17" s="4">
        <v>3.0000000000000001E-3</v>
      </c>
      <c r="F17" s="4">
        <v>63.929000000000002</v>
      </c>
      <c r="G17" s="4">
        <v>0.71599999999999997</v>
      </c>
      <c r="H17" s="4">
        <v>3.6059999999999999</v>
      </c>
      <c r="I17" s="4">
        <v>0.58699999999999997</v>
      </c>
      <c r="J17" s="4">
        <v>8.9999999999999993E-3</v>
      </c>
      <c r="K17" s="4">
        <v>0</v>
      </c>
      <c r="L17" s="4">
        <v>1E-3</v>
      </c>
      <c r="M17" s="4">
        <v>0.129</v>
      </c>
      <c r="N17" s="4">
        <f t="shared" si="60"/>
        <v>98.914000000000001</v>
      </c>
      <c r="P17" s="5">
        <f t="shared" si="61"/>
        <v>0.49347580054590234</v>
      </c>
      <c r="Q17" s="5">
        <f t="shared" si="61"/>
        <v>3.5559562266796883E-3</v>
      </c>
      <c r="R17" s="5">
        <f t="shared" si="61"/>
        <v>2.9423014682084327E-5</v>
      </c>
      <c r="S17" s="5">
        <f t="shared" si="61"/>
        <v>0.88983074439062426</v>
      </c>
      <c r="T17" s="5">
        <f t="shared" si="61"/>
        <v>1.009346321383763E-2</v>
      </c>
      <c r="U17" s="5">
        <f t="shared" si="61"/>
        <v>8.947002778880507E-2</v>
      </c>
      <c r="V17" s="5">
        <f t="shared" si="61"/>
        <v>1.0467749701303564E-2</v>
      </c>
      <c r="W17" s="5">
        <f t="shared" si="61"/>
        <v>1.4521047451556172E-4</v>
      </c>
      <c r="X17" s="5">
        <f t="shared" si="61"/>
        <v>0</v>
      </c>
      <c r="Y17" s="5">
        <f t="shared" si="61"/>
        <v>6.5793715647456209E-6</v>
      </c>
      <c r="Z17" s="5">
        <f t="shared" si="61"/>
        <v>9.0877709599926728E-4</v>
      </c>
      <c r="AB17" s="1">
        <v>2</v>
      </c>
      <c r="AC17" s="1">
        <v>2</v>
      </c>
      <c r="AD17" s="1">
        <v>3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3</v>
      </c>
      <c r="AL17" s="1">
        <v>5</v>
      </c>
      <c r="AN17" s="5">
        <f t="shared" si="62"/>
        <v>0.98695160109180469</v>
      </c>
      <c r="AO17" s="5">
        <f t="shared" si="63"/>
        <v>7.1119124533593767E-3</v>
      </c>
      <c r="AP17" s="5">
        <f t="shared" si="64"/>
        <v>8.8269044046252978E-5</v>
      </c>
      <c r="AQ17" s="5">
        <f t="shared" si="65"/>
        <v>0.88983074439062426</v>
      </c>
      <c r="AR17" s="5">
        <f t="shared" si="66"/>
        <v>1.009346321383763E-2</v>
      </c>
      <c r="AS17" s="5">
        <f t="shared" si="67"/>
        <v>8.947002778880507E-2</v>
      </c>
      <c r="AT17" s="5">
        <f t="shared" si="68"/>
        <v>1.0467749701303564E-2</v>
      </c>
      <c r="AU17" s="5">
        <f t="shared" si="69"/>
        <v>1.4521047451556172E-4</v>
      </c>
      <c r="AV17" s="5">
        <f t="shared" si="70"/>
        <v>0</v>
      </c>
      <c r="AW17" s="5">
        <f t="shared" si="71"/>
        <v>1.9738114694236862E-5</v>
      </c>
      <c r="AX17" s="5">
        <f t="shared" si="72"/>
        <v>4.5438854799963362E-3</v>
      </c>
      <c r="AY17" s="5">
        <f t="shared" si="73"/>
        <v>1.9987226017529869</v>
      </c>
      <c r="BA17" s="1">
        <v>4</v>
      </c>
      <c r="BB17" s="7">
        <f t="shared" si="74"/>
        <v>2.0012782146415842</v>
      </c>
      <c r="BD17" s="10">
        <f t="shared" si="75"/>
        <v>1.9751647381706599</v>
      </c>
      <c r="BE17" s="10">
        <f t="shared" si="76"/>
        <v>1.4232915457346302E-2</v>
      </c>
      <c r="BF17" s="10">
        <f t="shared" si="77"/>
        <v>1.7665091487700451E-4</v>
      </c>
      <c r="BG17" s="10">
        <f t="shared" si="78"/>
        <v>1.7807988834672603</v>
      </c>
      <c r="BH17" s="10">
        <f t="shared" si="79"/>
        <v>2.0199828040139478E-2</v>
      </c>
      <c r="BI17" s="10">
        <f t="shared" si="80"/>
        <v>0.17905441747711273</v>
      </c>
      <c r="BJ17" s="10">
        <f t="shared" si="81"/>
        <v>2.0948879433539774E-2</v>
      </c>
      <c r="BK17" s="10">
        <f t="shared" si="82"/>
        <v>2.9060655918576063E-4</v>
      </c>
      <c r="BL17" s="10">
        <f t="shared" si="83"/>
        <v>0</v>
      </c>
      <c r="BM17" s="10">
        <f t="shared" si="84"/>
        <v>3.9501458935673163E-5</v>
      </c>
      <c r="BN17" s="10">
        <f t="shared" si="85"/>
        <v>9.0935790209428855E-3</v>
      </c>
      <c r="BP17" s="1">
        <f t="shared" si="86"/>
        <v>0.5</v>
      </c>
      <c r="BQ17" s="1">
        <f t="shared" si="86"/>
        <v>0.5</v>
      </c>
      <c r="BR17" s="7">
        <f t="shared" si="87"/>
        <v>0.66666666666666663</v>
      </c>
      <c r="BS17" s="1">
        <f t="shared" si="88"/>
        <v>1</v>
      </c>
      <c r="BT17" s="1">
        <f t="shared" si="88"/>
        <v>1</v>
      </c>
      <c r="BU17" s="1">
        <f t="shared" si="88"/>
        <v>1</v>
      </c>
      <c r="BV17" s="1">
        <f t="shared" si="88"/>
        <v>1</v>
      </c>
      <c r="BW17" s="1">
        <f t="shared" si="89"/>
        <v>2</v>
      </c>
      <c r="BX17" s="1">
        <f t="shared" si="89"/>
        <v>2</v>
      </c>
      <c r="BY17" s="7">
        <f t="shared" si="90"/>
        <v>0.66666666666666663</v>
      </c>
      <c r="BZ17" s="7">
        <f t="shared" si="91"/>
        <v>0.4</v>
      </c>
      <c r="CB17" s="10">
        <f t="shared" si="92"/>
        <v>0.98758236908532993</v>
      </c>
      <c r="CC17" s="10">
        <f t="shared" si="93"/>
        <v>7.116457728673151E-3</v>
      </c>
      <c r="CD17" s="10">
        <f t="shared" si="94"/>
        <v>1.1776727658466968E-4</v>
      </c>
      <c r="CE17" s="10">
        <f t="shared" si="95"/>
        <v>1.7807988834672603</v>
      </c>
      <c r="CF17" s="10">
        <f t="shared" si="96"/>
        <v>2.0199828040139478E-2</v>
      </c>
      <c r="CG17" s="10">
        <f t="shared" si="97"/>
        <v>0.17905441747711273</v>
      </c>
      <c r="CH17" s="10">
        <f t="shared" si="98"/>
        <v>2.0948879433539774E-2</v>
      </c>
      <c r="CI17" s="10">
        <f t="shared" si="99"/>
        <v>5.8121311837152126E-4</v>
      </c>
      <c r="CJ17" s="10">
        <f t="shared" si="100"/>
        <v>0</v>
      </c>
      <c r="CK17" s="10">
        <f t="shared" si="101"/>
        <v>2.6334305957115439E-5</v>
      </c>
      <c r="CL17" s="10">
        <f t="shared" si="102"/>
        <v>3.6374316083771542E-3</v>
      </c>
      <c r="CM17" s="17">
        <f t="shared" si="103"/>
        <v>3.0000635815413461</v>
      </c>
      <c r="CO17" s="20">
        <f t="shared" si="104"/>
        <v>9.1361132688264846</v>
      </c>
      <c r="CP17" s="20">
        <f t="shared" si="105"/>
        <v>90.863886731173523</v>
      </c>
      <c r="CQ17" s="26"/>
      <c r="CR17" s="26"/>
      <c r="CS17" s="26"/>
    </row>
    <row r="18" spans="1:97" ht="15" x14ac:dyDescent="0.25">
      <c r="A18" s="1" t="s">
        <v>57</v>
      </c>
      <c r="B18" s="1" t="s">
        <v>53</v>
      </c>
      <c r="C18" s="4">
        <v>30.812999999999999</v>
      </c>
      <c r="D18" s="4">
        <v>0.82799999999999996</v>
      </c>
      <c r="E18" s="4">
        <v>6.0000000000000001E-3</v>
      </c>
      <c r="F18" s="4">
        <v>56.283000000000001</v>
      </c>
      <c r="G18" s="4">
        <v>0.59599999999999997</v>
      </c>
      <c r="H18" s="4">
        <v>9.7140000000000004</v>
      </c>
      <c r="I18" s="4">
        <v>0.36799999999999999</v>
      </c>
      <c r="J18" s="4">
        <v>0</v>
      </c>
      <c r="K18" s="4">
        <v>0</v>
      </c>
      <c r="L18" s="4">
        <v>3.1E-2</v>
      </c>
      <c r="M18" s="4">
        <v>4.2999999999999997E-2</v>
      </c>
      <c r="N18" s="4">
        <f t="shared" si="60"/>
        <v>98.682000000000016</v>
      </c>
      <c r="P18" s="5">
        <f t="shared" si="61"/>
        <v>0.5128320351507889</v>
      </c>
      <c r="Q18" s="5">
        <f t="shared" si="61"/>
        <v>1.0367365336939372E-2</v>
      </c>
      <c r="R18" s="5">
        <f t="shared" si="61"/>
        <v>5.8846029364168654E-5</v>
      </c>
      <c r="S18" s="5">
        <f t="shared" si="61"/>
        <v>0.78340571237681655</v>
      </c>
      <c r="T18" s="5">
        <f t="shared" si="61"/>
        <v>8.4018213344235031E-3</v>
      </c>
      <c r="U18" s="5">
        <f t="shared" si="61"/>
        <v>0.24101826121476777</v>
      </c>
      <c r="V18" s="5">
        <f t="shared" si="61"/>
        <v>6.5624052641903097E-3</v>
      </c>
      <c r="W18" s="5">
        <f t="shared" si="61"/>
        <v>0</v>
      </c>
      <c r="X18" s="5">
        <f t="shared" si="61"/>
        <v>0</v>
      </c>
      <c r="Y18" s="5">
        <f t="shared" si="61"/>
        <v>2.0396051850711424E-4</v>
      </c>
      <c r="Z18" s="5">
        <f t="shared" si="61"/>
        <v>3.0292569866642241E-4</v>
      </c>
      <c r="AB18" s="1">
        <v>2</v>
      </c>
      <c r="AC18" s="1">
        <v>2</v>
      </c>
      <c r="AD18" s="1">
        <v>3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3</v>
      </c>
      <c r="AL18" s="1">
        <v>5</v>
      </c>
      <c r="AN18" s="5">
        <f t="shared" si="62"/>
        <v>1.0256640703015778</v>
      </c>
      <c r="AO18" s="5">
        <f t="shared" si="63"/>
        <v>2.0734730673878744E-2</v>
      </c>
      <c r="AP18" s="5">
        <f t="shared" si="64"/>
        <v>1.7653808809250596E-4</v>
      </c>
      <c r="AQ18" s="5">
        <f t="shared" si="65"/>
        <v>0.78340571237681655</v>
      </c>
      <c r="AR18" s="5">
        <f t="shared" si="66"/>
        <v>8.4018213344235031E-3</v>
      </c>
      <c r="AS18" s="5">
        <f t="shared" si="67"/>
        <v>0.24101826121476777</v>
      </c>
      <c r="AT18" s="5">
        <f t="shared" si="68"/>
        <v>6.5624052641903097E-3</v>
      </c>
      <c r="AU18" s="5">
        <f t="shared" si="69"/>
        <v>0</v>
      </c>
      <c r="AV18" s="5">
        <f t="shared" si="70"/>
        <v>0</v>
      </c>
      <c r="AW18" s="5">
        <f t="shared" si="71"/>
        <v>6.1188155552134279E-4</v>
      </c>
      <c r="AX18" s="5">
        <f t="shared" si="72"/>
        <v>1.514628493332112E-3</v>
      </c>
      <c r="AY18" s="5">
        <f t="shared" si="73"/>
        <v>2.0880900493026009</v>
      </c>
      <c r="BA18" s="1">
        <v>4</v>
      </c>
      <c r="BB18" s="7">
        <f t="shared" si="74"/>
        <v>1.9156261969333919</v>
      </c>
      <c r="BD18" s="10">
        <f t="shared" si="75"/>
        <v>1.9647889623230346</v>
      </c>
      <c r="BE18" s="10">
        <f t="shared" si="76"/>
        <v>3.9719993265240484E-2</v>
      </c>
      <c r="BF18" s="10">
        <f t="shared" si="77"/>
        <v>3.3818098630653931E-4</v>
      </c>
      <c r="BG18" s="10">
        <f t="shared" si="78"/>
        <v>1.5007125054562958</v>
      </c>
      <c r="BH18" s="10">
        <f t="shared" si="79"/>
        <v>1.6094749050175532E-2</v>
      </c>
      <c r="BI18" s="10">
        <f t="shared" si="80"/>
        <v>0.46170089512234441</v>
      </c>
      <c r="BJ18" s="10">
        <f t="shared" si="81"/>
        <v>1.2571115438976554E-2</v>
      </c>
      <c r="BK18" s="10">
        <f t="shared" si="82"/>
        <v>0</v>
      </c>
      <c r="BL18" s="10">
        <f t="shared" si="83"/>
        <v>0</v>
      </c>
      <c r="BM18" s="10">
        <f t="shared" si="84"/>
        <v>1.1721363371770379E-3</v>
      </c>
      <c r="BN18" s="10">
        <f t="shared" si="85"/>
        <v>2.9014620204487469E-3</v>
      </c>
      <c r="BP18" s="1">
        <f t="shared" si="86"/>
        <v>0.5</v>
      </c>
      <c r="BQ18" s="1">
        <f t="shared" si="86"/>
        <v>0.5</v>
      </c>
      <c r="BR18" s="7">
        <f t="shared" si="87"/>
        <v>0.66666666666666663</v>
      </c>
      <c r="BS18" s="1">
        <f t="shared" si="88"/>
        <v>1</v>
      </c>
      <c r="BT18" s="1">
        <f t="shared" si="88"/>
        <v>1</v>
      </c>
      <c r="BU18" s="1">
        <f t="shared" si="88"/>
        <v>1</v>
      </c>
      <c r="BV18" s="1">
        <f t="shared" si="88"/>
        <v>1</v>
      </c>
      <c r="BW18" s="1">
        <f t="shared" si="89"/>
        <v>2</v>
      </c>
      <c r="BX18" s="1">
        <f t="shared" si="89"/>
        <v>2</v>
      </c>
      <c r="BY18" s="7">
        <f t="shared" si="90"/>
        <v>0.66666666666666663</v>
      </c>
      <c r="BZ18" s="7">
        <f t="shared" si="91"/>
        <v>0.4</v>
      </c>
      <c r="CB18" s="10">
        <f t="shared" si="92"/>
        <v>0.98239448116151729</v>
      </c>
      <c r="CC18" s="10">
        <f t="shared" si="93"/>
        <v>1.9859996632620242E-2</v>
      </c>
      <c r="CD18" s="10">
        <f t="shared" si="94"/>
        <v>2.2545399087102621E-4</v>
      </c>
      <c r="CE18" s="10">
        <f t="shared" si="95"/>
        <v>1.5007125054562958</v>
      </c>
      <c r="CF18" s="10">
        <f t="shared" si="96"/>
        <v>1.6094749050175532E-2</v>
      </c>
      <c r="CG18" s="10">
        <f t="shared" si="97"/>
        <v>0.46170089512234441</v>
      </c>
      <c r="CH18" s="10">
        <f t="shared" si="98"/>
        <v>1.2571115438976554E-2</v>
      </c>
      <c r="CI18" s="10">
        <f t="shared" si="99"/>
        <v>0</v>
      </c>
      <c r="CJ18" s="10">
        <f t="shared" si="100"/>
        <v>0</v>
      </c>
      <c r="CK18" s="10">
        <f t="shared" si="101"/>
        <v>7.8142422478469191E-4</v>
      </c>
      <c r="CL18" s="10">
        <f t="shared" si="102"/>
        <v>1.1605848081794989E-3</v>
      </c>
      <c r="CM18" s="17">
        <f t="shared" si="103"/>
        <v>2.9955012058857649</v>
      </c>
      <c r="CO18" s="20">
        <f t="shared" si="104"/>
        <v>23.52719844790127</v>
      </c>
      <c r="CP18" s="20">
        <f t="shared" si="105"/>
        <v>76.47280155209873</v>
      </c>
      <c r="CQ18" s="26"/>
      <c r="CR18" s="26"/>
      <c r="CS18" s="26"/>
    </row>
    <row r="19" spans="1:97" ht="15" x14ac:dyDescent="0.25">
      <c r="A19" s="1" t="s">
        <v>58</v>
      </c>
      <c r="B19" s="1" t="s">
        <v>53</v>
      </c>
      <c r="C19" s="4">
        <v>32.866999999999997</v>
      </c>
      <c r="D19" s="4">
        <v>0.128</v>
      </c>
      <c r="E19" s="4">
        <v>2.1000000000000001E-2</v>
      </c>
      <c r="F19" s="4">
        <v>48.723999999999997</v>
      </c>
      <c r="G19" s="4">
        <v>0.495</v>
      </c>
      <c r="H19" s="4">
        <v>16.18</v>
      </c>
      <c r="I19" s="4">
        <v>0.38400000000000001</v>
      </c>
      <c r="J19" s="4">
        <v>0</v>
      </c>
      <c r="K19" s="4">
        <v>6.0000000000000001E-3</v>
      </c>
      <c r="L19" s="4">
        <v>7.4999999999999997E-2</v>
      </c>
      <c r="M19" s="4">
        <v>0.114</v>
      </c>
      <c r="N19" s="4">
        <f t="shared" si="60"/>
        <v>98.994</v>
      </c>
      <c r="P19" s="5">
        <f t="shared" si="61"/>
        <v>0.54701750882098388</v>
      </c>
      <c r="Q19" s="5">
        <f t="shared" si="61"/>
        <v>1.6026844965316906E-3</v>
      </c>
      <c r="R19" s="5">
        <f t="shared" si="61"/>
        <v>2.059611027745903E-4</v>
      </c>
      <c r="S19" s="5">
        <f t="shared" si="61"/>
        <v>0.67819163743666833</v>
      </c>
      <c r="T19" s="5">
        <f t="shared" si="61"/>
        <v>6.9780227525832782E-3</v>
      </c>
      <c r="U19" s="5">
        <f t="shared" si="61"/>
        <v>0.40144898769352916</v>
      </c>
      <c r="V19" s="5">
        <f t="shared" si="61"/>
        <v>6.8477272321985846E-3</v>
      </c>
      <c r="W19" s="5">
        <f t="shared" si="61"/>
        <v>0</v>
      </c>
      <c r="X19" s="5">
        <f t="shared" si="61"/>
        <v>6.3696972270584743E-5</v>
      </c>
      <c r="Y19" s="5">
        <f t="shared" si="61"/>
        <v>4.9345286735592159E-4</v>
      </c>
      <c r="Z19" s="5">
        <f t="shared" si="61"/>
        <v>8.0310534065051531E-4</v>
      </c>
      <c r="AB19" s="1">
        <v>2</v>
      </c>
      <c r="AC19" s="1">
        <v>2</v>
      </c>
      <c r="AD19" s="1">
        <v>3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3</v>
      </c>
      <c r="AL19" s="1">
        <v>5</v>
      </c>
      <c r="AN19" s="5">
        <f t="shared" si="62"/>
        <v>1.0940350176419678</v>
      </c>
      <c r="AO19" s="5">
        <f t="shared" si="63"/>
        <v>3.2053689930633812E-3</v>
      </c>
      <c r="AP19" s="5">
        <f t="shared" si="64"/>
        <v>6.1788330832377087E-4</v>
      </c>
      <c r="AQ19" s="5">
        <f t="shared" si="65"/>
        <v>0.67819163743666833</v>
      </c>
      <c r="AR19" s="5">
        <f t="shared" si="66"/>
        <v>6.9780227525832782E-3</v>
      </c>
      <c r="AS19" s="5">
        <f t="shared" si="67"/>
        <v>0.40144898769352916</v>
      </c>
      <c r="AT19" s="5">
        <f t="shared" si="68"/>
        <v>6.8477272321985846E-3</v>
      </c>
      <c r="AU19" s="5">
        <f t="shared" si="69"/>
        <v>0</v>
      </c>
      <c r="AV19" s="5">
        <f t="shared" si="70"/>
        <v>6.3696972270584743E-5</v>
      </c>
      <c r="AW19" s="5">
        <f t="shared" si="71"/>
        <v>1.4803586020677648E-3</v>
      </c>
      <c r="AX19" s="5">
        <f t="shared" si="72"/>
        <v>4.0155267032525761E-3</v>
      </c>
      <c r="AY19" s="5">
        <f t="shared" si="73"/>
        <v>2.196884227335925</v>
      </c>
      <c r="BA19" s="1">
        <v>4</v>
      </c>
      <c r="BB19" s="7">
        <f t="shared" si="74"/>
        <v>1.8207604889815439</v>
      </c>
      <c r="BD19" s="10">
        <f t="shared" si="75"/>
        <v>1.9919757336847213</v>
      </c>
      <c r="BE19" s="10">
        <f t="shared" si="76"/>
        <v>5.8362092151763604E-3</v>
      </c>
      <c r="BF19" s="10">
        <f t="shared" si="77"/>
        <v>1.125017514597123E-3</v>
      </c>
      <c r="BG19" s="10">
        <f t="shared" si="78"/>
        <v>1.2348245374023821</v>
      </c>
      <c r="BH19" s="10">
        <f t="shared" si="79"/>
        <v>1.2705308119117869E-2</v>
      </c>
      <c r="BI19" s="10">
        <f t="shared" si="80"/>
        <v>0.7309424551340159</v>
      </c>
      <c r="BJ19" s="10">
        <f t="shared" si="81"/>
        <v>1.2468071183710129E-2</v>
      </c>
      <c r="BK19" s="10">
        <f t="shared" si="82"/>
        <v>0</v>
      </c>
      <c r="BL19" s="10">
        <f t="shared" si="83"/>
        <v>1.1597693037803372E-4</v>
      </c>
      <c r="BM19" s="10">
        <f t="shared" si="84"/>
        <v>2.6953784521689382E-3</v>
      </c>
      <c r="BN19" s="10">
        <f t="shared" si="85"/>
        <v>7.3113123637326069E-3</v>
      </c>
      <c r="BP19" s="1">
        <f t="shared" si="86"/>
        <v>0.5</v>
      </c>
      <c r="BQ19" s="1">
        <f t="shared" si="86"/>
        <v>0.5</v>
      </c>
      <c r="BR19" s="7">
        <f t="shared" si="87"/>
        <v>0.66666666666666663</v>
      </c>
      <c r="BS19" s="1">
        <f t="shared" si="88"/>
        <v>1</v>
      </c>
      <c r="BT19" s="1">
        <f t="shared" si="88"/>
        <v>1</v>
      </c>
      <c r="BU19" s="1">
        <f t="shared" si="88"/>
        <v>1</v>
      </c>
      <c r="BV19" s="1">
        <f t="shared" si="88"/>
        <v>1</v>
      </c>
      <c r="BW19" s="1">
        <f t="shared" si="89"/>
        <v>2</v>
      </c>
      <c r="BX19" s="1">
        <f t="shared" si="89"/>
        <v>2</v>
      </c>
      <c r="BY19" s="7">
        <f t="shared" si="90"/>
        <v>0.66666666666666663</v>
      </c>
      <c r="BZ19" s="7">
        <f t="shared" si="91"/>
        <v>0.4</v>
      </c>
      <c r="CB19" s="10">
        <f t="shared" si="92"/>
        <v>0.99598786684236063</v>
      </c>
      <c r="CC19" s="10">
        <f t="shared" si="93"/>
        <v>2.9181046075881802E-3</v>
      </c>
      <c r="CD19" s="10">
        <f t="shared" si="94"/>
        <v>7.5001167639808194E-4</v>
      </c>
      <c r="CE19" s="10">
        <f t="shared" si="95"/>
        <v>1.2348245374023821</v>
      </c>
      <c r="CF19" s="10">
        <f t="shared" si="96"/>
        <v>1.2705308119117869E-2</v>
      </c>
      <c r="CG19" s="10">
        <f t="shared" si="97"/>
        <v>0.7309424551340159</v>
      </c>
      <c r="CH19" s="10">
        <f t="shared" si="98"/>
        <v>1.2468071183710129E-2</v>
      </c>
      <c r="CI19" s="10">
        <f t="shared" si="99"/>
        <v>0</v>
      </c>
      <c r="CJ19" s="10">
        <f t="shared" si="100"/>
        <v>2.3195386075606744E-4</v>
      </c>
      <c r="CK19" s="10">
        <f t="shared" si="101"/>
        <v>1.7969189681126254E-3</v>
      </c>
      <c r="CL19" s="10">
        <f t="shared" si="102"/>
        <v>2.9245249454930428E-3</v>
      </c>
      <c r="CM19" s="17">
        <f t="shared" si="103"/>
        <v>2.9955497527399344</v>
      </c>
      <c r="CO19" s="20">
        <f t="shared" si="104"/>
        <v>37.183575566649054</v>
      </c>
      <c r="CP19" s="20">
        <f t="shared" si="105"/>
        <v>62.81642443335096</v>
      </c>
      <c r="CQ19" s="26"/>
      <c r="CR19" s="26"/>
      <c r="CS19" s="26"/>
    </row>
    <row r="20" spans="1:97" ht="15" x14ac:dyDescent="0.25">
      <c r="A20" s="1" t="s">
        <v>59</v>
      </c>
      <c r="B20" s="1" t="s">
        <v>53</v>
      </c>
      <c r="C20" s="4">
        <v>32.645000000000003</v>
      </c>
      <c r="D20" s="4">
        <v>0.24</v>
      </c>
      <c r="E20" s="4">
        <v>0.02</v>
      </c>
      <c r="F20" s="4">
        <v>47.981000000000002</v>
      </c>
      <c r="G20" s="4">
        <v>0.47599999999999998</v>
      </c>
      <c r="H20" s="4">
        <v>15.96</v>
      </c>
      <c r="I20" s="4">
        <v>0.36699999999999999</v>
      </c>
      <c r="J20" s="4">
        <v>0</v>
      </c>
      <c r="K20" s="4">
        <v>0.01</v>
      </c>
      <c r="L20" s="4">
        <v>4.2000000000000003E-2</v>
      </c>
      <c r="M20" s="4">
        <v>2.7E-2</v>
      </c>
      <c r="N20" s="18">
        <f t="shared" si="60"/>
        <v>97.768000000000015</v>
      </c>
      <c r="P20" s="5">
        <f t="shared" si="61"/>
        <v>0.54332268157912256</v>
      </c>
      <c r="Q20" s="5">
        <f t="shared" si="61"/>
        <v>3.0050334309969198E-3</v>
      </c>
      <c r="R20" s="5">
        <f t="shared" si="61"/>
        <v>1.9615343121389553E-4</v>
      </c>
      <c r="S20" s="5">
        <f t="shared" si="61"/>
        <v>0.66784978564667896</v>
      </c>
      <c r="T20" s="5">
        <f t="shared" si="61"/>
        <v>6.7101794550093741E-3</v>
      </c>
      <c r="U20" s="5">
        <f t="shared" si="61"/>
        <v>0.39599047240968638</v>
      </c>
      <c r="V20" s="5">
        <f t="shared" si="61"/>
        <v>6.5445726411897925E-3</v>
      </c>
      <c r="W20" s="5">
        <f t="shared" si="61"/>
        <v>0</v>
      </c>
      <c r="X20" s="5">
        <f t="shared" si="61"/>
        <v>1.0616162045097456E-4</v>
      </c>
      <c r="Y20" s="5">
        <f t="shared" si="61"/>
        <v>2.7633360571931609E-4</v>
      </c>
      <c r="Z20" s="5">
        <f t="shared" si="61"/>
        <v>1.9020915962775361E-4</v>
      </c>
      <c r="AB20" s="1">
        <v>2</v>
      </c>
      <c r="AC20" s="1">
        <v>2</v>
      </c>
      <c r="AD20" s="1">
        <v>3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3</v>
      </c>
      <c r="AL20" s="1">
        <v>5</v>
      </c>
      <c r="AN20" s="5">
        <f t="shared" si="62"/>
        <v>1.0866453631582451</v>
      </c>
      <c r="AO20" s="5">
        <f t="shared" si="63"/>
        <v>6.0100668619938397E-3</v>
      </c>
      <c r="AP20" s="5">
        <f t="shared" si="64"/>
        <v>5.8846029364168656E-4</v>
      </c>
      <c r="AQ20" s="5">
        <f t="shared" si="65"/>
        <v>0.66784978564667896</v>
      </c>
      <c r="AR20" s="5">
        <f t="shared" si="66"/>
        <v>6.7101794550093741E-3</v>
      </c>
      <c r="AS20" s="5">
        <f t="shared" si="67"/>
        <v>0.39599047240968638</v>
      </c>
      <c r="AT20" s="5">
        <f t="shared" si="68"/>
        <v>6.5445726411897925E-3</v>
      </c>
      <c r="AU20" s="5">
        <f t="shared" si="69"/>
        <v>0</v>
      </c>
      <c r="AV20" s="5">
        <f t="shared" si="70"/>
        <v>1.0616162045097456E-4</v>
      </c>
      <c r="AW20" s="5">
        <f t="shared" si="71"/>
        <v>8.2900081715794828E-4</v>
      </c>
      <c r="AX20" s="5">
        <f t="shared" si="72"/>
        <v>9.5104579813876805E-4</v>
      </c>
      <c r="AY20" s="5">
        <f t="shared" si="73"/>
        <v>2.1722251087021927</v>
      </c>
      <c r="BA20" s="1">
        <v>4</v>
      </c>
      <c r="BB20" s="7">
        <f t="shared" si="74"/>
        <v>1.841429778145701</v>
      </c>
      <c r="BD20" s="10">
        <f t="shared" si="75"/>
        <v>2.0009811300035421</v>
      </c>
      <c r="BE20" s="10">
        <f t="shared" si="76"/>
        <v>1.1067116088322145E-2</v>
      </c>
      <c r="BF20" s="10">
        <f t="shared" si="77"/>
        <v>1.0836083079681649E-3</v>
      </c>
      <c r="BG20" s="10">
        <f t="shared" si="78"/>
        <v>1.2297984826180179</v>
      </c>
      <c r="BH20" s="10">
        <f t="shared" si="79"/>
        <v>1.2356324265155752E-2</v>
      </c>
      <c r="BI20" s="10">
        <f t="shared" si="80"/>
        <v>0.72918864775718006</v>
      </c>
      <c r="BJ20" s="10">
        <f t="shared" si="81"/>
        <v>1.2051370946724543E-2</v>
      </c>
      <c r="BK20" s="10">
        <f t="shared" si="82"/>
        <v>0</v>
      </c>
      <c r="BL20" s="10">
        <f t="shared" si="83"/>
        <v>1.9548916919462619E-4</v>
      </c>
      <c r="BM20" s="10">
        <f t="shared" si="84"/>
        <v>1.5265467908217654E-3</v>
      </c>
      <c r="BN20" s="10">
        <f t="shared" si="85"/>
        <v>1.7512840530730727E-3</v>
      </c>
      <c r="BP20" s="1">
        <f t="shared" si="86"/>
        <v>0.5</v>
      </c>
      <c r="BQ20" s="1">
        <f t="shared" si="86"/>
        <v>0.5</v>
      </c>
      <c r="BR20" s="7">
        <f t="shared" si="87"/>
        <v>0.66666666666666663</v>
      </c>
      <c r="BS20" s="1">
        <f t="shared" si="88"/>
        <v>1</v>
      </c>
      <c r="BT20" s="1">
        <f t="shared" si="88"/>
        <v>1</v>
      </c>
      <c r="BU20" s="1">
        <f t="shared" si="88"/>
        <v>1</v>
      </c>
      <c r="BV20" s="1">
        <f t="shared" si="88"/>
        <v>1</v>
      </c>
      <c r="BW20" s="1">
        <f t="shared" si="89"/>
        <v>2</v>
      </c>
      <c r="BX20" s="1">
        <f t="shared" si="89"/>
        <v>2</v>
      </c>
      <c r="BY20" s="7">
        <f t="shared" si="90"/>
        <v>0.66666666666666663</v>
      </c>
      <c r="BZ20" s="7">
        <f t="shared" si="91"/>
        <v>0.4</v>
      </c>
      <c r="CB20" s="10">
        <f t="shared" si="92"/>
        <v>1.000490565001771</v>
      </c>
      <c r="CC20" s="10">
        <f t="shared" si="93"/>
        <v>5.5335580441610724E-3</v>
      </c>
      <c r="CD20" s="10">
        <f t="shared" si="94"/>
        <v>7.2240553864544321E-4</v>
      </c>
      <c r="CE20" s="10">
        <f t="shared" si="95"/>
        <v>1.2297984826180179</v>
      </c>
      <c r="CF20" s="10">
        <f t="shared" si="96"/>
        <v>1.2356324265155752E-2</v>
      </c>
      <c r="CG20" s="10">
        <f t="shared" si="97"/>
        <v>0.72918864775718006</v>
      </c>
      <c r="CH20" s="10">
        <f t="shared" si="98"/>
        <v>1.2051370946724543E-2</v>
      </c>
      <c r="CI20" s="10">
        <f t="shared" si="99"/>
        <v>0</v>
      </c>
      <c r="CJ20" s="10">
        <f t="shared" si="100"/>
        <v>3.9097833838925238E-4</v>
      </c>
      <c r="CK20" s="10">
        <f t="shared" si="101"/>
        <v>1.0176978605478436E-3</v>
      </c>
      <c r="CL20" s="10">
        <f t="shared" si="102"/>
        <v>7.0051362122922913E-4</v>
      </c>
      <c r="CM20" s="17">
        <f t="shared" si="103"/>
        <v>2.9922505439918226</v>
      </c>
      <c r="CO20" s="20">
        <f t="shared" si="104"/>
        <v>37.222738038994727</v>
      </c>
      <c r="CP20" s="20">
        <f t="shared" si="105"/>
        <v>62.777261961005273</v>
      </c>
      <c r="CQ20" s="26"/>
      <c r="CR20" s="26"/>
      <c r="CS20" s="26"/>
    </row>
    <row r="23" spans="1:97" ht="15" x14ac:dyDescent="0.25">
      <c r="A23" s="6" t="s">
        <v>11</v>
      </c>
      <c r="B23" s="6"/>
      <c r="C23" s="4">
        <v>60.084000000000003</v>
      </c>
      <c r="D23" s="4">
        <v>79.866</v>
      </c>
      <c r="E23" s="4">
        <v>101.961</v>
      </c>
      <c r="F23" s="4">
        <v>71.843999999999994</v>
      </c>
      <c r="G23" s="4">
        <v>70.936999999999998</v>
      </c>
      <c r="H23" s="4">
        <v>40.304000000000002</v>
      </c>
      <c r="I23" s="4">
        <v>56.076999999999998</v>
      </c>
      <c r="J23" s="4">
        <v>61.978999999999999</v>
      </c>
      <c r="K23" s="4">
        <v>94.195999999999998</v>
      </c>
      <c r="L23" s="4">
        <v>151.99020000000002</v>
      </c>
      <c r="M23" s="4">
        <f>30.977*2+5*15.999</f>
        <v>141.94900000000001</v>
      </c>
      <c r="N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BB23" s="7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Tartese</dc:creator>
  <cp:lastModifiedBy>Romain Tartese</cp:lastModifiedBy>
  <dcterms:created xsi:type="dcterms:W3CDTF">2021-11-03T13:11:59Z</dcterms:created>
  <dcterms:modified xsi:type="dcterms:W3CDTF">2025-11-11T11:43:08Z</dcterms:modified>
</cp:coreProperties>
</file>